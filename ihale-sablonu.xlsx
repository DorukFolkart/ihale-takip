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L:\Teknik Ofis\İHALE VE SATINALMA\SATINALMA\01.ÇALIŞMALAR\İHALE &amp; SATINALMA TAKVİMİ\"/>
    </mc:Choice>
  </mc:AlternateContent>
  <xr:revisionPtr revIDLastSave="0" documentId="13_ncr:1_{043F7208-DEAE-44DE-BBFE-97CED3F68599}" xr6:coauthVersionLast="47" xr6:coauthVersionMax="47" xr10:uidLastSave="{00000000-0000-0000-0000-000000000000}"/>
  <bookViews>
    <workbookView xWindow="-108" yWindow="-108" windowWidth="23256" windowHeight="12456" tabRatio="770" firstSheet="1" activeTab="3" xr2:uid="{00000000-000D-0000-FFFF-FFFF00000000}"/>
  </bookViews>
  <sheets>
    <sheet name="Referans" sheetId="1" state="hidden" r:id="rId1"/>
    <sheet name="Şablon" sheetId="7" r:id="rId2"/>
    <sheet name="Kullanım Klavuzu" sheetId="8" r:id="rId3"/>
    <sheet name="Satınalma Takvimi Veri Girişi" sheetId="6" r:id="rId4"/>
    <sheet name="Rapor" sheetId="9" state="hidden" r:id="rId5"/>
  </sheets>
  <definedNames>
    <definedName name="_xlnm._FilterDatabase" localSheetId="4" hidden="1">Rapor!$B$3:$AQ$3</definedName>
    <definedName name="_xlnm._FilterDatabase" localSheetId="0" hidden="1">Referans!$B$2:$E$144</definedName>
    <definedName name="_xlnm._FilterDatabase" localSheetId="3" hidden="1">'Satınalma Takvimi Veri Girişi'!$B$3:$AC$3</definedName>
    <definedName name="_xlnm._FilterDatabase" localSheetId="1" hidden="1">Şablon!$B$2:$Q$145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9" l="1"/>
  <c r="B1" i="9" l="1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AQ146" i="9"/>
  <c r="AP146" i="9"/>
  <c r="AO146" i="9"/>
  <c r="AN146" i="9"/>
  <c r="AM146" i="9"/>
  <c r="AL146" i="9"/>
  <c r="AK146" i="9"/>
  <c r="AQ145" i="9"/>
  <c r="AP145" i="9"/>
  <c r="AO145" i="9"/>
  <c r="AN145" i="9"/>
  <c r="AM145" i="9"/>
  <c r="AL145" i="9"/>
  <c r="AK145" i="9"/>
  <c r="AQ144" i="9"/>
  <c r="AP144" i="9"/>
  <c r="AO144" i="9"/>
  <c r="AN144" i="9"/>
  <c r="AM144" i="9"/>
  <c r="AL144" i="9"/>
  <c r="AK144" i="9"/>
  <c r="AQ143" i="9"/>
  <c r="AP143" i="9"/>
  <c r="AO143" i="9"/>
  <c r="AN143" i="9"/>
  <c r="AM143" i="9"/>
  <c r="AL143" i="9"/>
  <c r="AK143" i="9"/>
  <c r="AQ142" i="9"/>
  <c r="AP142" i="9"/>
  <c r="AO142" i="9"/>
  <c r="AN142" i="9"/>
  <c r="AM142" i="9"/>
  <c r="AL142" i="9"/>
  <c r="AK142" i="9"/>
  <c r="AQ141" i="9"/>
  <c r="AP141" i="9"/>
  <c r="AO141" i="9"/>
  <c r="AN141" i="9"/>
  <c r="AM141" i="9"/>
  <c r="AL141" i="9"/>
  <c r="AK141" i="9"/>
  <c r="AQ140" i="9"/>
  <c r="AP140" i="9"/>
  <c r="AO140" i="9"/>
  <c r="AN140" i="9"/>
  <c r="AM140" i="9"/>
  <c r="AL140" i="9"/>
  <c r="AK140" i="9"/>
  <c r="AQ139" i="9"/>
  <c r="AP139" i="9"/>
  <c r="AO139" i="9"/>
  <c r="AN139" i="9"/>
  <c r="AM139" i="9"/>
  <c r="AL139" i="9"/>
  <c r="AK139" i="9"/>
  <c r="AQ138" i="9"/>
  <c r="AP138" i="9"/>
  <c r="AO138" i="9"/>
  <c r="AN138" i="9"/>
  <c r="AM138" i="9"/>
  <c r="AL138" i="9"/>
  <c r="AK138" i="9"/>
  <c r="AQ137" i="9"/>
  <c r="AP137" i="9"/>
  <c r="AO137" i="9"/>
  <c r="AN137" i="9"/>
  <c r="AM137" i="9"/>
  <c r="AL137" i="9"/>
  <c r="AK137" i="9"/>
  <c r="AQ136" i="9"/>
  <c r="AP136" i="9"/>
  <c r="AO136" i="9"/>
  <c r="AN136" i="9"/>
  <c r="AM136" i="9"/>
  <c r="AL136" i="9"/>
  <c r="AK136" i="9"/>
  <c r="AQ135" i="9"/>
  <c r="AP135" i="9"/>
  <c r="AO135" i="9"/>
  <c r="AN135" i="9"/>
  <c r="AM135" i="9"/>
  <c r="AL135" i="9"/>
  <c r="AK135" i="9"/>
  <c r="AQ134" i="9"/>
  <c r="AP134" i="9"/>
  <c r="AO134" i="9"/>
  <c r="AN134" i="9"/>
  <c r="AM134" i="9"/>
  <c r="AL134" i="9"/>
  <c r="AK134" i="9"/>
  <c r="AQ133" i="9"/>
  <c r="AP133" i="9"/>
  <c r="AO133" i="9"/>
  <c r="AN133" i="9"/>
  <c r="AM133" i="9"/>
  <c r="AL133" i="9"/>
  <c r="AK133" i="9"/>
  <c r="AQ132" i="9"/>
  <c r="AP132" i="9"/>
  <c r="AO132" i="9"/>
  <c r="AN132" i="9"/>
  <c r="AM132" i="9"/>
  <c r="AL132" i="9"/>
  <c r="AK132" i="9"/>
  <c r="AQ131" i="9"/>
  <c r="AP131" i="9"/>
  <c r="AO131" i="9"/>
  <c r="AN131" i="9"/>
  <c r="AM131" i="9"/>
  <c r="AL131" i="9"/>
  <c r="AK131" i="9"/>
  <c r="AQ130" i="9"/>
  <c r="AP130" i="9"/>
  <c r="AO130" i="9"/>
  <c r="AN130" i="9"/>
  <c r="AM130" i="9"/>
  <c r="AL130" i="9"/>
  <c r="AK130" i="9"/>
  <c r="AQ129" i="9"/>
  <c r="AP129" i="9"/>
  <c r="AO129" i="9"/>
  <c r="AN129" i="9"/>
  <c r="AM129" i="9"/>
  <c r="AL129" i="9"/>
  <c r="AK129" i="9"/>
  <c r="AQ128" i="9"/>
  <c r="AP128" i="9"/>
  <c r="AO128" i="9"/>
  <c r="AN128" i="9"/>
  <c r="AM128" i="9"/>
  <c r="AL128" i="9"/>
  <c r="AK128" i="9"/>
  <c r="AQ127" i="9"/>
  <c r="AP127" i="9"/>
  <c r="AO127" i="9"/>
  <c r="AN127" i="9"/>
  <c r="AM127" i="9"/>
  <c r="AL127" i="9"/>
  <c r="AK127" i="9"/>
  <c r="AQ126" i="9"/>
  <c r="AP126" i="9"/>
  <c r="AO126" i="9"/>
  <c r="AN126" i="9"/>
  <c r="AM126" i="9"/>
  <c r="AL126" i="9"/>
  <c r="AK126" i="9"/>
  <c r="AQ125" i="9"/>
  <c r="AP125" i="9"/>
  <c r="AO125" i="9"/>
  <c r="AN125" i="9"/>
  <c r="AM125" i="9"/>
  <c r="AL125" i="9"/>
  <c r="AK125" i="9"/>
  <c r="AQ124" i="9"/>
  <c r="AP124" i="9"/>
  <c r="AO124" i="9"/>
  <c r="AN124" i="9"/>
  <c r="AM124" i="9"/>
  <c r="AL124" i="9"/>
  <c r="AK124" i="9"/>
  <c r="AQ123" i="9"/>
  <c r="AP123" i="9"/>
  <c r="AO123" i="9"/>
  <c r="AN123" i="9"/>
  <c r="AM123" i="9"/>
  <c r="AL123" i="9"/>
  <c r="AK123" i="9"/>
  <c r="AQ122" i="9"/>
  <c r="AP122" i="9"/>
  <c r="AO122" i="9"/>
  <c r="AN122" i="9"/>
  <c r="AM122" i="9"/>
  <c r="AL122" i="9"/>
  <c r="AK122" i="9"/>
  <c r="AQ121" i="9"/>
  <c r="AP121" i="9"/>
  <c r="AO121" i="9"/>
  <c r="AN121" i="9"/>
  <c r="AM121" i="9"/>
  <c r="AL121" i="9"/>
  <c r="AK121" i="9"/>
  <c r="AQ120" i="9"/>
  <c r="AP120" i="9"/>
  <c r="AO120" i="9"/>
  <c r="AN120" i="9"/>
  <c r="AM120" i="9"/>
  <c r="AL120" i="9"/>
  <c r="AK120" i="9"/>
  <c r="AQ119" i="9"/>
  <c r="AP119" i="9"/>
  <c r="AO119" i="9"/>
  <c r="AN119" i="9"/>
  <c r="AM119" i="9"/>
  <c r="AL119" i="9"/>
  <c r="AK119" i="9"/>
  <c r="AQ118" i="9"/>
  <c r="AP118" i="9"/>
  <c r="AO118" i="9"/>
  <c r="AN118" i="9"/>
  <c r="AM118" i="9"/>
  <c r="AL118" i="9"/>
  <c r="AK118" i="9"/>
  <c r="AQ117" i="9"/>
  <c r="AP117" i="9"/>
  <c r="AO117" i="9"/>
  <c r="AN117" i="9"/>
  <c r="AM117" i="9"/>
  <c r="AL117" i="9"/>
  <c r="AK117" i="9"/>
  <c r="AQ116" i="9"/>
  <c r="AP116" i="9"/>
  <c r="AO116" i="9"/>
  <c r="AN116" i="9"/>
  <c r="AM116" i="9"/>
  <c r="AL116" i="9"/>
  <c r="AK116" i="9"/>
  <c r="AQ115" i="9"/>
  <c r="AP115" i="9"/>
  <c r="AO115" i="9"/>
  <c r="AN115" i="9"/>
  <c r="AM115" i="9"/>
  <c r="AL115" i="9"/>
  <c r="AK115" i="9"/>
  <c r="AQ114" i="9"/>
  <c r="AP114" i="9"/>
  <c r="AO114" i="9"/>
  <c r="AN114" i="9"/>
  <c r="AM114" i="9"/>
  <c r="AL114" i="9"/>
  <c r="AK114" i="9"/>
  <c r="AQ113" i="9"/>
  <c r="AP113" i="9"/>
  <c r="AO113" i="9"/>
  <c r="AN113" i="9"/>
  <c r="AM113" i="9"/>
  <c r="AL113" i="9"/>
  <c r="AK113" i="9"/>
  <c r="AQ112" i="9"/>
  <c r="AP112" i="9"/>
  <c r="AO112" i="9"/>
  <c r="AN112" i="9"/>
  <c r="AM112" i="9"/>
  <c r="AL112" i="9"/>
  <c r="AK112" i="9"/>
  <c r="AQ111" i="9"/>
  <c r="AP111" i="9"/>
  <c r="AO111" i="9"/>
  <c r="AN111" i="9"/>
  <c r="AM111" i="9"/>
  <c r="AL111" i="9"/>
  <c r="AK111" i="9"/>
  <c r="AQ110" i="9"/>
  <c r="AP110" i="9"/>
  <c r="AO110" i="9"/>
  <c r="AN110" i="9"/>
  <c r="AM110" i="9"/>
  <c r="AL110" i="9"/>
  <c r="AK110" i="9"/>
  <c r="AQ109" i="9"/>
  <c r="AP109" i="9"/>
  <c r="AO109" i="9"/>
  <c r="AN109" i="9"/>
  <c r="AM109" i="9"/>
  <c r="AL109" i="9"/>
  <c r="AK109" i="9"/>
  <c r="AQ108" i="9"/>
  <c r="AP108" i="9"/>
  <c r="AO108" i="9"/>
  <c r="AN108" i="9"/>
  <c r="AM108" i="9"/>
  <c r="AL108" i="9"/>
  <c r="AK108" i="9"/>
  <c r="AQ107" i="9"/>
  <c r="AP107" i="9"/>
  <c r="AO107" i="9"/>
  <c r="AN107" i="9"/>
  <c r="AM107" i="9"/>
  <c r="AL107" i="9"/>
  <c r="AK107" i="9"/>
  <c r="AQ106" i="9"/>
  <c r="AP106" i="9"/>
  <c r="AO106" i="9"/>
  <c r="AN106" i="9"/>
  <c r="AM106" i="9"/>
  <c r="AL106" i="9"/>
  <c r="AK106" i="9"/>
  <c r="AQ105" i="9"/>
  <c r="AP105" i="9"/>
  <c r="AO105" i="9"/>
  <c r="AN105" i="9"/>
  <c r="AM105" i="9"/>
  <c r="AL105" i="9"/>
  <c r="AK105" i="9"/>
  <c r="AQ104" i="9"/>
  <c r="AP104" i="9"/>
  <c r="AO104" i="9"/>
  <c r="AN104" i="9"/>
  <c r="AM104" i="9"/>
  <c r="AL104" i="9"/>
  <c r="AK104" i="9"/>
  <c r="AQ103" i="9"/>
  <c r="AP103" i="9"/>
  <c r="AO103" i="9"/>
  <c r="AN103" i="9"/>
  <c r="AM103" i="9"/>
  <c r="AL103" i="9"/>
  <c r="AK103" i="9"/>
  <c r="AQ102" i="9"/>
  <c r="AP102" i="9"/>
  <c r="AO102" i="9"/>
  <c r="AN102" i="9"/>
  <c r="AM102" i="9"/>
  <c r="AL102" i="9"/>
  <c r="AK102" i="9"/>
  <c r="AQ101" i="9"/>
  <c r="AP101" i="9"/>
  <c r="AO101" i="9"/>
  <c r="AN101" i="9"/>
  <c r="AM101" i="9"/>
  <c r="AL101" i="9"/>
  <c r="AK101" i="9"/>
  <c r="AQ100" i="9"/>
  <c r="AP100" i="9"/>
  <c r="AO100" i="9"/>
  <c r="AN100" i="9"/>
  <c r="AM100" i="9"/>
  <c r="AL100" i="9"/>
  <c r="AK100" i="9"/>
  <c r="AQ99" i="9"/>
  <c r="AP99" i="9"/>
  <c r="AO99" i="9"/>
  <c r="AN99" i="9"/>
  <c r="AM99" i="9"/>
  <c r="AL99" i="9"/>
  <c r="AK99" i="9"/>
  <c r="AQ98" i="9"/>
  <c r="AP98" i="9"/>
  <c r="AO98" i="9"/>
  <c r="AN98" i="9"/>
  <c r="AM98" i="9"/>
  <c r="AL98" i="9"/>
  <c r="AK98" i="9"/>
  <c r="AQ97" i="9"/>
  <c r="AP97" i="9"/>
  <c r="AO97" i="9"/>
  <c r="AN97" i="9"/>
  <c r="AM97" i="9"/>
  <c r="AL97" i="9"/>
  <c r="AK97" i="9"/>
  <c r="AQ96" i="9"/>
  <c r="AP96" i="9"/>
  <c r="AO96" i="9"/>
  <c r="AN96" i="9"/>
  <c r="AM96" i="9"/>
  <c r="AL96" i="9"/>
  <c r="AK96" i="9"/>
  <c r="AQ95" i="9"/>
  <c r="AP95" i="9"/>
  <c r="AO95" i="9"/>
  <c r="AN95" i="9"/>
  <c r="AM95" i="9"/>
  <c r="AL95" i="9"/>
  <c r="AK95" i="9"/>
  <c r="AQ94" i="9"/>
  <c r="AP94" i="9"/>
  <c r="AO94" i="9"/>
  <c r="AN94" i="9"/>
  <c r="AM94" i="9"/>
  <c r="AL94" i="9"/>
  <c r="AK94" i="9"/>
  <c r="AQ93" i="9"/>
  <c r="AP93" i="9"/>
  <c r="AO93" i="9"/>
  <c r="AN93" i="9"/>
  <c r="AM93" i="9"/>
  <c r="AL93" i="9"/>
  <c r="AK93" i="9"/>
  <c r="AQ92" i="9"/>
  <c r="AP92" i="9"/>
  <c r="AO92" i="9"/>
  <c r="AN92" i="9"/>
  <c r="AM92" i="9"/>
  <c r="AL92" i="9"/>
  <c r="AK92" i="9"/>
  <c r="AQ91" i="9"/>
  <c r="AP91" i="9"/>
  <c r="AO91" i="9"/>
  <c r="AN91" i="9"/>
  <c r="AM91" i="9"/>
  <c r="AL91" i="9"/>
  <c r="AK91" i="9"/>
  <c r="AQ90" i="9"/>
  <c r="AP90" i="9"/>
  <c r="AO90" i="9"/>
  <c r="AN90" i="9"/>
  <c r="AM90" i="9"/>
  <c r="AL90" i="9"/>
  <c r="AK90" i="9"/>
  <c r="AQ89" i="9"/>
  <c r="AP89" i="9"/>
  <c r="AO89" i="9"/>
  <c r="AN89" i="9"/>
  <c r="AM89" i="9"/>
  <c r="AL89" i="9"/>
  <c r="AK89" i="9"/>
  <c r="AQ88" i="9"/>
  <c r="AP88" i="9"/>
  <c r="AO88" i="9"/>
  <c r="AN88" i="9"/>
  <c r="AM88" i="9"/>
  <c r="AL88" i="9"/>
  <c r="AK88" i="9"/>
  <c r="AQ87" i="9"/>
  <c r="AP87" i="9"/>
  <c r="AO87" i="9"/>
  <c r="AN87" i="9"/>
  <c r="AM87" i="9"/>
  <c r="AL87" i="9"/>
  <c r="AK87" i="9"/>
  <c r="AQ86" i="9"/>
  <c r="AP86" i="9"/>
  <c r="AO86" i="9"/>
  <c r="AN86" i="9"/>
  <c r="AM86" i="9"/>
  <c r="AL86" i="9"/>
  <c r="AK86" i="9"/>
  <c r="AQ85" i="9"/>
  <c r="AP85" i="9"/>
  <c r="AO85" i="9"/>
  <c r="AN85" i="9"/>
  <c r="AM85" i="9"/>
  <c r="AL85" i="9"/>
  <c r="AK85" i="9"/>
  <c r="AQ84" i="9"/>
  <c r="AP84" i="9"/>
  <c r="AO84" i="9"/>
  <c r="AN84" i="9"/>
  <c r="AM84" i="9"/>
  <c r="AL84" i="9"/>
  <c r="AK84" i="9"/>
  <c r="AQ83" i="9"/>
  <c r="AP83" i="9"/>
  <c r="AO83" i="9"/>
  <c r="AN83" i="9"/>
  <c r="AM83" i="9"/>
  <c r="AL83" i="9"/>
  <c r="AK83" i="9"/>
  <c r="AQ82" i="9"/>
  <c r="AP82" i="9"/>
  <c r="AO82" i="9"/>
  <c r="AN82" i="9"/>
  <c r="AM82" i="9"/>
  <c r="AL82" i="9"/>
  <c r="AK82" i="9"/>
  <c r="AQ81" i="9"/>
  <c r="AP81" i="9"/>
  <c r="AO81" i="9"/>
  <c r="AN81" i="9"/>
  <c r="AM81" i="9"/>
  <c r="AL81" i="9"/>
  <c r="AK81" i="9"/>
  <c r="AQ80" i="9"/>
  <c r="AP80" i="9"/>
  <c r="AO80" i="9"/>
  <c r="AN80" i="9"/>
  <c r="AM80" i="9"/>
  <c r="AL80" i="9"/>
  <c r="AK80" i="9"/>
  <c r="AQ79" i="9"/>
  <c r="AP79" i="9"/>
  <c r="AO79" i="9"/>
  <c r="AN79" i="9"/>
  <c r="AM79" i="9"/>
  <c r="AL79" i="9"/>
  <c r="AK79" i="9"/>
  <c r="AQ78" i="9"/>
  <c r="AP78" i="9"/>
  <c r="AO78" i="9"/>
  <c r="AN78" i="9"/>
  <c r="AM78" i="9"/>
  <c r="AL78" i="9"/>
  <c r="AK78" i="9"/>
  <c r="AQ77" i="9"/>
  <c r="AP77" i="9"/>
  <c r="AO77" i="9"/>
  <c r="AN77" i="9"/>
  <c r="AM77" i="9"/>
  <c r="AL77" i="9"/>
  <c r="AK77" i="9"/>
  <c r="AQ76" i="9"/>
  <c r="AP76" i="9"/>
  <c r="AO76" i="9"/>
  <c r="AN76" i="9"/>
  <c r="AM76" i="9"/>
  <c r="AL76" i="9"/>
  <c r="AK76" i="9"/>
  <c r="AQ75" i="9"/>
  <c r="AP75" i="9"/>
  <c r="AO75" i="9"/>
  <c r="AN75" i="9"/>
  <c r="AM75" i="9"/>
  <c r="AL75" i="9"/>
  <c r="AK75" i="9"/>
  <c r="AQ74" i="9"/>
  <c r="AP74" i="9"/>
  <c r="AO74" i="9"/>
  <c r="AN74" i="9"/>
  <c r="AM74" i="9"/>
  <c r="AL74" i="9"/>
  <c r="AK74" i="9"/>
  <c r="AQ73" i="9"/>
  <c r="AP73" i="9"/>
  <c r="AO73" i="9"/>
  <c r="AN73" i="9"/>
  <c r="AM73" i="9"/>
  <c r="AL73" i="9"/>
  <c r="AK73" i="9"/>
  <c r="AQ72" i="9"/>
  <c r="AP72" i="9"/>
  <c r="AO72" i="9"/>
  <c r="AN72" i="9"/>
  <c r="AM72" i="9"/>
  <c r="AL72" i="9"/>
  <c r="AK72" i="9"/>
  <c r="AQ71" i="9"/>
  <c r="AP71" i="9"/>
  <c r="AO71" i="9"/>
  <c r="AN71" i="9"/>
  <c r="AM71" i="9"/>
  <c r="AL71" i="9"/>
  <c r="AK71" i="9"/>
  <c r="AQ70" i="9"/>
  <c r="AP70" i="9"/>
  <c r="AO70" i="9"/>
  <c r="AN70" i="9"/>
  <c r="AM70" i="9"/>
  <c r="AL70" i="9"/>
  <c r="AK70" i="9"/>
  <c r="AQ69" i="9"/>
  <c r="AP69" i="9"/>
  <c r="AO69" i="9"/>
  <c r="AN69" i="9"/>
  <c r="AM69" i="9"/>
  <c r="AL69" i="9"/>
  <c r="AK69" i="9"/>
  <c r="AQ68" i="9"/>
  <c r="AP68" i="9"/>
  <c r="AO68" i="9"/>
  <c r="AN68" i="9"/>
  <c r="AM68" i="9"/>
  <c r="AL68" i="9"/>
  <c r="AK68" i="9"/>
  <c r="AQ67" i="9"/>
  <c r="AP67" i="9"/>
  <c r="AO67" i="9"/>
  <c r="AN67" i="9"/>
  <c r="AM67" i="9"/>
  <c r="AL67" i="9"/>
  <c r="AK67" i="9"/>
  <c r="AQ66" i="9"/>
  <c r="AP66" i="9"/>
  <c r="AO66" i="9"/>
  <c r="AN66" i="9"/>
  <c r="AM66" i="9"/>
  <c r="AL66" i="9"/>
  <c r="AK66" i="9"/>
  <c r="AQ65" i="9"/>
  <c r="AP65" i="9"/>
  <c r="AO65" i="9"/>
  <c r="AN65" i="9"/>
  <c r="AM65" i="9"/>
  <c r="AL65" i="9"/>
  <c r="AK65" i="9"/>
  <c r="AQ64" i="9"/>
  <c r="AP64" i="9"/>
  <c r="AO64" i="9"/>
  <c r="AN64" i="9"/>
  <c r="AM64" i="9"/>
  <c r="AL64" i="9"/>
  <c r="AK64" i="9"/>
  <c r="AQ63" i="9"/>
  <c r="AP63" i="9"/>
  <c r="AO63" i="9"/>
  <c r="AN63" i="9"/>
  <c r="AM63" i="9"/>
  <c r="AL63" i="9"/>
  <c r="AK63" i="9"/>
  <c r="AQ62" i="9"/>
  <c r="AP62" i="9"/>
  <c r="AO62" i="9"/>
  <c r="AN62" i="9"/>
  <c r="AM62" i="9"/>
  <c r="AL62" i="9"/>
  <c r="AK62" i="9"/>
  <c r="AQ61" i="9"/>
  <c r="AP61" i="9"/>
  <c r="AO61" i="9"/>
  <c r="AN61" i="9"/>
  <c r="AM61" i="9"/>
  <c r="AL61" i="9"/>
  <c r="AK61" i="9"/>
  <c r="AQ60" i="9"/>
  <c r="AP60" i="9"/>
  <c r="AO60" i="9"/>
  <c r="AN60" i="9"/>
  <c r="AM60" i="9"/>
  <c r="AL60" i="9"/>
  <c r="AK60" i="9"/>
  <c r="AQ59" i="9"/>
  <c r="AP59" i="9"/>
  <c r="AO59" i="9"/>
  <c r="AN59" i="9"/>
  <c r="AM59" i="9"/>
  <c r="AL59" i="9"/>
  <c r="AK59" i="9"/>
  <c r="AQ58" i="9"/>
  <c r="AP58" i="9"/>
  <c r="AO58" i="9"/>
  <c r="AN58" i="9"/>
  <c r="AM58" i="9"/>
  <c r="AL58" i="9"/>
  <c r="AK58" i="9"/>
  <c r="AQ57" i="9"/>
  <c r="AP57" i="9"/>
  <c r="AO57" i="9"/>
  <c r="AN57" i="9"/>
  <c r="AM57" i="9"/>
  <c r="AL57" i="9"/>
  <c r="AK57" i="9"/>
  <c r="AQ56" i="9"/>
  <c r="AP56" i="9"/>
  <c r="AO56" i="9"/>
  <c r="AN56" i="9"/>
  <c r="AM56" i="9"/>
  <c r="AL56" i="9"/>
  <c r="AK56" i="9"/>
  <c r="AQ55" i="9"/>
  <c r="AP55" i="9"/>
  <c r="AO55" i="9"/>
  <c r="AN55" i="9"/>
  <c r="AM55" i="9"/>
  <c r="AL55" i="9"/>
  <c r="AK55" i="9"/>
  <c r="AQ54" i="9"/>
  <c r="AP54" i="9"/>
  <c r="AO54" i="9"/>
  <c r="AN54" i="9"/>
  <c r="AM54" i="9"/>
  <c r="AL54" i="9"/>
  <c r="AK54" i="9"/>
  <c r="AQ53" i="9"/>
  <c r="AP53" i="9"/>
  <c r="AO53" i="9"/>
  <c r="AN53" i="9"/>
  <c r="AM53" i="9"/>
  <c r="AL53" i="9"/>
  <c r="AK53" i="9"/>
  <c r="AQ52" i="9"/>
  <c r="AP52" i="9"/>
  <c r="AO52" i="9"/>
  <c r="AN52" i="9"/>
  <c r="AM52" i="9"/>
  <c r="AL52" i="9"/>
  <c r="AK52" i="9"/>
  <c r="AQ51" i="9"/>
  <c r="AP51" i="9"/>
  <c r="AO51" i="9"/>
  <c r="AN51" i="9"/>
  <c r="AM51" i="9"/>
  <c r="AL51" i="9"/>
  <c r="AK51" i="9"/>
  <c r="AQ50" i="9"/>
  <c r="AP50" i="9"/>
  <c r="AO50" i="9"/>
  <c r="AN50" i="9"/>
  <c r="AM50" i="9"/>
  <c r="AL50" i="9"/>
  <c r="AK50" i="9"/>
  <c r="AQ49" i="9"/>
  <c r="AP49" i="9"/>
  <c r="AO49" i="9"/>
  <c r="AN49" i="9"/>
  <c r="AM49" i="9"/>
  <c r="AL49" i="9"/>
  <c r="AK49" i="9"/>
  <c r="AQ48" i="9"/>
  <c r="AP48" i="9"/>
  <c r="AO48" i="9"/>
  <c r="AN48" i="9"/>
  <c r="AM48" i="9"/>
  <c r="AL48" i="9"/>
  <c r="AK48" i="9"/>
  <c r="AQ47" i="9"/>
  <c r="AP47" i="9"/>
  <c r="AO47" i="9"/>
  <c r="AN47" i="9"/>
  <c r="AM47" i="9"/>
  <c r="AL47" i="9"/>
  <c r="AK47" i="9"/>
  <c r="AQ46" i="9"/>
  <c r="AP46" i="9"/>
  <c r="AO46" i="9"/>
  <c r="AN46" i="9"/>
  <c r="AM46" i="9"/>
  <c r="AL46" i="9"/>
  <c r="AK46" i="9"/>
  <c r="AQ45" i="9"/>
  <c r="AP45" i="9"/>
  <c r="AO45" i="9"/>
  <c r="AN45" i="9"/>
  <c r="AM45" i="9"/>
  <c r="AL45" i="9"/>
  <c r="AK45" i="9"/>
  <c r="AQ44" i="9"/>
  <c r="AP44" i="9"/>
  <c r="AO44" i="9"/>
  <c r="AN44" i="9"/>
  <c r="AM44" i="9"/>
  <c r="AL44" i="9"/>
  <c r="AK44" i="9"/>
  <c r="AQ43" i="9"/>
  <c r="AP43" i="9"/>
  <c r="AO43" i="9"/>
  <c r="AN43" i="9"/>
  <c r="AM43" i="9"/>
  <c r="AL43" i="9"/>
  <c r="AK43" i="9"/>
  <c r="AQ42" i="9"/>
  <c r="AP42" i="9"/>
  <c r="AO42" i="9"/>
  <c r="AN42" i="9"/>
  <c r="AM42" i="9"/>
  <c r="AL42" i="9"/>
  <c r="AK42" i="9"/>
  <c r="AQ41" i="9"/>
  <c r="AP41" i="9"/>
  <c r="AO41" i="9"/>
  <c r="AN41" i="9"/>
  <c r="AM41" i="9"/>
  <c r="AL41" i="9"/>
  <c r="AK41" i="9"/>
  <c r="AQ40" i="9"/>
  <c r="AP40" i="9"/>
  <c r="AO40" i="9"/>
  <c r="AN40" i="9"/>
  <c r="AM40" i="9"/>
  <c r="AL40" i="9"/>
  <c r="AK40" i="9"/>
  <c r="AQ39" i="9"/>
  <c r="AP39" i="9"/>
  <c r="AO39" i="9"/>
  <c r="AN39" i="9"/>
  <c r="AM39" i="9"/>
  <c r="AL39" i="9"/>
  <c r="AK39" i="9"/>
  <c r="AQ38" i="9"/>
  <c r="AP38" i="9"/>
  <c r="AO38" i="9"/>
  <c r="AN38" i="9"/>
  <c r="AM38" i="9"/>
  <c r="AL38" i="9"/>
  <c r="AK38" i="9"/>
  <c r="AQ37" i="9"/>
  <c r="AP37" i="9"/>
  <c r="AO37" i="9"/>
  <c r="AN37" i="9"/>
  <c r="AM37" i="9"/>
  <c r="AL37" i="9"/>
  <c r="AK37" i="9"/>
  <c r="AQ36" i="9"/>
  <c r="AP36" i="9"/>
  <c r="AO36" i="9"/>
  <c r="AN36" i="9"/>
  <c r="AM36" i="9"/>
  <c r="AL36" i="9"/>
  <c r="AK36" i="9"/>
  <c r="AQ35" i="9"/>
  <c r="AP35" i="9"/>
  <c r="AO35" i="9"/>
  <c r="AN35" i="9"/>
  <c r="AM35" i="9"/>
  <c r="AL35" i="9"/>
  <c r="AK35" i="9"/>
  <c r="AQ34" i="9"/>
  <c r="AP34" i="9"/>
  <c r="AO34" i="9"/>
  <c r="AN34" i="9"/>
  <c r="AM34" i="9"/>
  <c r="AL34" i="9"/>
  <c r="AK34" i="9"/>
  <c r="AQ33" i="9"/>
  <c r="AP33" i="9"/>
  <c r="AO33" i="9"/>
  <c r="AN33" i="9"/>
  <c r="AM33" i="9"/>
  <c r="AL33" i="9"/>
  <c r="AK33" i="9"/>
  <c r="AQ32" i="9"/>
  <c r="AP32" i="9"/>
  <c r="AO32" i="9"/>
  <c r="AN32" i="9"/>
  <c r="AM32" i="9"/>
  <c r="AL32" i="9"/>
  <c r="AK32" i="9"/>
  <c r="AQ31" i="9"/>
  <c r="AP31" i="9"/>
  <c r="AO31" i="9"/>
  <c r="AN31" i="9"/>
  <c r="AM31" i="9"/>
  <c r="AL31" i="9"/>
  <c r="AK31" i="9"/>
  <c r="AQ30" i="9"/>
  <c r="AP30" i="9"/>
  <c r="AO30" i="9"/>
  <c r="AN30" i="9"/>
  <c r="AM30" i="9"/>
  <c r="AL30" i="9"/>
  <c r="AK30" i="9"/>
  <c r="AQ29" i="9"/>
  <c r="AP29" i="9"/>
  <c r="AO29" i="9"/>
  <c r="AN29" i="9"/>
  <c r="AM29" i="9"/>
  <c r="AL29" i="9"/>
  <c r="AK29" i="9"/>
  <c r="AQ28" i="9"/>
  <c r="AP28" i="9"/>
  <c r="AO28" i="9"/>
  <c r="AN28" i="9"/>
  <c r="AM28" i="9"/>
  <c r="AL28" i="9"/>
  <c r="AK28" i="9"/>
  <c r="AQ27" i="9"/>
  <c r="AP27" i="9"/>
  <c r="AO27" i="9"/>
  <c r="AN27" i="9"/>
  <c r="AM27" i="9"/>
  <c r="AL27" i="9"/>
  <c r="AK27" i="9"/>
  <c r="AQ26" i="9"/>
  <c r="AP26" i="9"/>
  <c r="AO26" i="9"/>
  <c r="AN26" i="9"/>
  <c r="AM26" i="9"/>
  <c r="AL26" i="9"/>
  <c r="AK26" i="9"/>
  <c r="AQ25" i="9"/>
  <c r="AP25" i="9"/>
  <c r="AO25" i="9"/>
  <c r="AN25" i="9"/>
  <c r="AM25" i="9"/>
  <c r="AL25" i="9"/>
  <c r="AK25" i="9"/>
  <c r="AQ24" i="9"/>
  <c r="AP24" i="9"/>
  <c r="AO24" i="9"/>
  <c r="AN24" i="9"/>
  <c r="AM24" i="9"/>
  <c r="AL24" i="9"/>
  <c r="AK24" i="9"/>
  <c r="AQ23" i="9"/>
  <c r="AP23" i="9"/>
  <c r="AO23" i="9"/>
  <c r="AN23" i="9"/>
  <c r="AM23" i="9"/>
  <c r="AL23" i="9"/>
  <c r="AK23" i="9"/>
  <c r="AQ22" i="9"/>
  <c r="AP22" i="9"/>
  <c r="AO22" i="9"/>
  <c r="AN22" i="9"/>
  <c r="AM22" i="9"/>
  <c r="AL22" i="9"/>
  <c r="AK22" i="9"/>
  <c r="AQ21" i="9"/>
  <c r="AP21" i="9"/>
  <c r="AO21" i="9"/>
  <c r="AN21" i="9"/>
  <c r="AM21" i="9"/>
  <c r="AL21" i="9"/>
  <c r="AK21" i="9"/>
  <c r="AQ20" i="9"/>
  <c r="AP20" i="9"/>
  <c r="AO20" i="9"/>
  <c r="AN20" i="9"/>
  <c r="AM20" i="9"/>
  <c r="AL20" i="9"/>
  <c r="AK20" i="9"/>
  <c r="AQ19" i="9"/>
  <c r="AP19" i="9"/>
  <c r="AO19" i="9"/>
  <c r="AN19" i="9"/>
  <c r="AM19" i="9"/>
  <c r="AL19" i="9"/>
  <c r="AK19" i="9"/>
  <c r="AQ18" i="9"/>
  <c r="AP18" i="9"/>
  <c r="AO18" i="9"/>
  <c r="AN18" i="9"/>
  <c r="AM18" i="9"/>
  <c r="AL18" i="9"/>
  <c r="AK18" i="9"/>
  <c r="AQ17" i="9"/>
  <c r="AP17" i="9"/>
  <c r="AO17" i="9"/>
  <c r="AN17" i="9"/>
  <c r="AM17" i="9"/>
  <c r="AL17" i="9"/>
  <c r="AK17" i="9"/>
  <c r="AQ16" i="9"/>
  <c r="AP16" i="9"/>
  <c r="AO16" i="9"/>
  <c r="AN16" i="9"/>
  <c r="AM16" i="9"/>
  <c r="AL16" i="9"/>
  <c r="AK16" i="9"/>
  <c r="AQ15" i="9"/>
  <c r="AP15" i="9"/>
  <c r="AO15" i="9"/>
  <c r="AN15" i="9"/>
  <c r="AM15" i="9"/>
  <c r="AL15" i="9"/>
  <c r="AK15" i="9"/>
  <c r="AQ14" i="9"/>
  <c r="AP14" i="9"/>
  <c r="AO14" i="9"/>
  <c r="AN14" i="9"/>
  <c r="AM14" i="9"/>
  <c r="AL14" i="9"/>
  <c r="AK14" i="9"/>
  <c r="AQ13" i="9"/>
  <c r="AP13" i="9"/>
  <c r="AO13" i="9"/>
  <c r="AN13" i="9"/>
  <c r="AM13" i="9"/>
  <c r="AL13" i="9"/>
  <c r="AK13" i="9"/>
  <c r="AQ12" i="9"/>
  <c r="AP12" i="9"/>
  <c r="AO12" i="9"/>
  <c r="AN12" i="9"/>
  <c r="AM12" i="9"/>
  <c r="AL12" i="9"/>
  <c r="AK12" i="9"/>
  <c r="AQ11" i="9"/>
  <c r="AP11" i="9"/>
  <c r="AO11" i="9"/>
  <c r="AN11" i="9"/>
  <c r="AM11" i="9"/>
  <c r="AL11" i="9"/>
  <c r="AK11" i="9"/>
  <c r="AQ10" i="9"/>
  <c r="AP10" i="9"/>
  <c r="AO10" i="9"/>
  <c r="AN10" i="9"/>
  <c r="AM10" i="9"/>
  <c r="AL10" i="9"/>
  <c r="AK10" i="9"/>
  <c r="AQ9" i="9"/>
  <c r="AP9" i="9"/>
  <c r="AO9" i="9"/>
  <c r="AN9" i="9"/>
  <c r="AM9" i="9"/>
  <c r="AL9" i="9"/>
  <c r="AK9" i="9"/>
  <c r="AQ8" i="9"/>
  <c r="AP8" i="9"/>
  <c r="AO8" i="9"/>
  <c r="AN8" i="9"/>
  <c r="AM8" i="9"/>
  <c r="AL8" i="9"/>
  <c r="AK8" i="9"/>
  <c r="AQ7" i="9"/>
  <c r="AP7" i="9"/>
  <c r="AO7" i="9"/>
  <c r="AN7" i="9"/>
  <c r="AM7" i="9"/>
  <c r="AL7" i="9"/>
  <c r="AK7" i="9"/>
  <c r="AQ6" i="9"/>
  <c r="AP6" i="9"/>
  <c r="AO6" i="9"/>
  <c r="AN6" i="9"/>
  <c r="AM6" i="9"/>
  <c r="AL6" i="9"/>
  <c r="AK6" i="9"/>
  <c r="AQ5" i="9"/>
  <c r="AP5" i="9"/>
  <c r="AO5" i="9"/>
  <c r="AN5" i="9"/>
  <c r="AM5" i="9"/>
  <c r="AL5" i="9"/>
  <c r="AK5" i="9"/>
  <c r="AQ4" i="9"/>
  <c r="AP4" i="9"/>
  <c r="AO4" i="9"/>
  <c r="AN4" i="9"/>
  <c r="AM4" i="9"/>
  <c r="AL4" i="9"/>
  <c r="AK4" i="9"/>
  <c r="AJ146" i="9"/>
  <c r="AI146" i="9"/>
  <c r="AJ145" i="9"/>
  <c r="AI145" i="9"/>
  <c r="AJ144" i="9"/>
  <c r="AI144" i="9"/>
  <c r="AJ143" i="9"/>
  <c r="AI143" i="9"/>
  <c r="AJ142" i="9"/>
  <c r="AI142" i="9"/>
  <c r="AJ141" i="9"/>
  <c r="AI141" i="9"/>
  <c r="AJ140" i="9"/>
  <c r="AG140" i="9" s="1"/>
  <c r="AI140" i="9"/>
  <c r="AJ139" i="9"/>
  <c r="AI139" i="9"/>
  <c r="AF139" i="9" s="1"/>
  <c r="AB139" i="9" s="1"/>
  <c r="X139" i="9" s="1"/>
  <c r="T139" i="9" s="1"/>
  <c r="P139" i="9" s="1"/>
  <c r="L139" i="9" s="1"/>
  <c r="AJ138" i="9"/>
  <c r="AI138" i="9"/>
  <c r="AJ137" i="9"/>
  <c r="AI137" i="9"/>
  <c r="AJ136" i="9"/>
  <c r="AI136" i="9"/>
  <c r="AJ135" i="9"/>
  <c r="AI135" i="9"/>
  <c r="AJ134" i="9"/>
  <c r="AI134" i="9"/>
  <c r="AJ133" i="9"/>
  <c r="AI133" i="9"/>
  <c r="AJ132" i="9"/>
  <c r="AG132" i="9" s="1"/>
  <c r="AI132" i="9"/>
  <c r="AJ131" i="9"/>
  <c r="AG131" i="9" s="1"/>
  <c r="AI131" i="9"/>
  <c r="AF131" i="9" s="1"/>
  <c r="AB131" i="9" s="1"/>
  <c r="X131" i="9" s="1"/>
  <c r="T131" i="9" s="1"/>
  <c r="P131" i="9" s="1"/>
  <c r="L131" i="9" s="1"/>
  <c r="AJ130" i="9"/>
  <c r="AI130" i="9"/>
  <c r="AJ129" i="9"/>
  <c r="AI129" i="9"/>
  <c r="AJ128" i="9"/>
  <c r="AI128" i="9"/>
  <c r="AJ127" i="9"/>
  <c r="AI127" i="9"/>
  <c r="AJ126" i="9"/>
  <c r="AI126" i="9"/>
  <c r="AJ125" i="9"/>
  <c r="AI125" i="9"/>
  <c r="AJ124" i="9"/>
  <c r="AG124" i="9" s="1"/>
  <c r="AI124" i="9"/>
  <c r="AF124" i="9" s="1"/>
  <c r="AB124" i="9" s="1"/>
  <c r="X124" i="9" s="1"/>
  <c r="T124" i="9" s="1"/>
  <c r="P124" i="9" s="1"/>
  <c r="L124" i="9" s="1"/>
  <c r="AJ123" i="9"/>
  <c r="AG123" i="9" s="1"/>
  <c r="AI123" i="9"/>
  <c r="AF123" i="9" s="1"/>
  <c r="AB123" i="9" s="1"/>
  <c r="X123" i="9" s="1"/>
  <c r="T123" i="9" s="1"/>
  <c r="P123" i="9" s="1"/>
  <c r="L123" i="9" s="1"/>
  <c r="AJ122" i="9"/>
  <c r="AI122" i="9"/>
  <c r="AJ121" i="9"/>
  <c r="AI121" i="9"/>
  <c r="AJ120" i="9"/>
  <c r="AI120" i="9"/>
  <c r="AJ119" i="9"/>
  <c r="AI119" i="9"/>
  <c r="AJ118" i="9"/>
  <c r="AI118" i="9"/>
  <c r="AJ117" i="9"/>
  <c r="AI117" i="9"/>
  <c r="AJ116" i="9"/>
  <c r="AG116" i="9" s="1"/>
  <c r="AI116" i="9"/>
  <c r="AJ115" i="9"/>
  <c r="AG115" i="9" s="1"/>
  <c r="AI115" i="9"/>
  <c r="AF115" i="9" s="1"/>
  <c r="AB115" i="9" s="1"/>
  <c r="X115" i="9" s="1"/>
  <c r="T115" i="9" s="1"/>
  <c r="P115" i="9" s="1"/>
  <c r="L115" i="9" s="1"/>
  <c r="AJ114" i="9"/>
  <c r="AI114" i="9"/>
  <c r="AF114" i="9" s="1"/>
  <c r="AB114" i="9" s="1"/>
  <c r="X114" i="9" s="1"/>
  <c r="T114" i="9" s="1"/>
  <c r="P114" i="9" s="1"/>
  <c r="L114" i="9" s="1"/>
  <c r="AJ113" i="9"/>
  <c r="AI113" i="9"/>
  <c r="AJ112" i="9"/>
  <c r="AI112" i="9"/>
  <c r="AJ111" i="9"/>
  <c r="AI111" i="9"/>
  <c r="AJ110" i="9"/>
  <c r="AI110" i="9"/>
  <c r="AJ109" i="9"/>
  <c r="AI109" i="9"/>
  <c r="AJ108" i="9"/>
  <c r="AG108" i="9" s="1"/>
  <c r="AI108" i="9"/>
  <c r="AF108" i="9" s="1"/>
  <c r="AB108" i="9" s="1"/>
  <c r="X108" i="9" s="1"/>
  <c r="T108" i="9" s="1"/>
  <c r="P108" i="9" s="1"/>
  <c r="L108" i="9" s="1"/>
  <c r="AJ107" i="9"/>
  <c r="AG107" i="9" s="1"/>
  <c r="AI107" i="9"/>
  <c r="AF107" i="9" s="1"/>
  <c r="AB107" i="9" s="1"/>
  <c r="X107" i="9" s="1"/>
  <c r="T107" i="9" s="1"/>
  <c r="P107" i="9" s="1"/>
  <c r="L107" i="9" s="1"/>
  <c r="AJ106" i="9"/>
  <c r="AI106" i="9"/>
  <c r="AF106" i="9" s="1"/>
  <c r="AB106" i="9" s="1"/>
  <c r="X106" i="9" s="1"/>
  <c r="T106" i="9" s="1"/>
  <c r="P106" i="9" s="1"/>
  <c r="L106" i="9" s="1"/>
  <c r="AJ105" i="9"/>
  <c r="AI105" i="9"/>
  <c r="AJ104" i="9"/>
  <c r="AI104" i="9"/>
  <c r="AJ103" i="9"/>
  <c r="AI103" i="9"/>
  <c r="AJ102" i="9"/>
  <c r="AI102" i="9"/>
  <c r="AJ101" i="9"/>
  <c r="AI101" i="9"/>
  <c r="AJ100" i="9"/>
  <c r="AG100" i="9" s="1"/>
  <c r="AI100" i="9"/>
  <c r="AJ99" i="9"/>
  <c r="AG99" i="9" s="1"/>
  <c r="AI99" i="9"/>
  <c r="AF99" i="9" s="1"/>
  <c r="AB99" i="9" s="1"/>
  <c r="X99" i="9" s="1"/>
  <c r="T99" i="9" s="1"/>
  <c r="P99" i="9" s="1"/>
  <c r="L99" i="9" s="1"/>
  <c r="AJ98" i="9"/>
  <c r="AI98" i="9"/>
  <c r="AJ97" i="9"/>
  <c r="AI97" i="9"/>
  <c r="AJ96" i="9"/>
  <c r="AI96" i="9"/>
  <c r="AJ95" i="9"/>
  <c r="AI95" i="9"/>
  <c r="AJ94" i="9"/>
  <c r="AI94" i="9"/>
  <c r="AJ93" i="9"/>
  <c r="AI93" i="9"/>
  <c r="AJ92" i="9"/>
  <c r="AG92" i="9" s="1"/>
  <c r="AI92" i="9"/>
  <c r="AJ91" i="9"/>
  <c r="AG91" i="9" s="1"/>
  <c r="AI91" i="9"/>
  <c r="AF91" i="9" s="1"/>
  <c r="AB91" i="9" s="1"/>
  <c r="X91" i="9" s="1"/>
  <c r="T91" i="9" s="1"/>
  <c r="P91" i="9" s="1"/>
  <c r="L91" i="9" s="1"/>
  <c r="AJ90" i="9"/>
  <c r="AI90" i="9"/>
  <c r="AJ89" i="9"/>
  <c r="AI89" i="9"/>
  <c r="AJ88" i="9"/>
  <c r="AI88" i="9"/>
  <c r="AJ87" i="9"/>
  <c r="AI87" i="9"/>
  <c r="AJ86" i="9"/>
  <c r="AI86" i="9"/>
  <c r="AJ85" i="9"/>
  <c r="AI85" i="9"/>
  <c r="AJ84" i="9"/>
  <c r="AI84" i="9"/>
  <c r="AJ83" i="9"/>
  <c r="AG83" i="9" s="1"/>
  <c r="AI83" i="9"/>
  <c r="AF83" i="9" s="1"/>
  <c r="AB83" i="9" s="1"/>
  <c r="X83" i="9" s="1"/>
  <c r="T83" i="9" s="1"/>
  <c r="P83" i="9" s="1"/>
  <c r="L83" i="9" s="1"/>
  <c r="AJ82" i="9"/>
  <c r="AI82" i="9"/>
  <c r="AJ81" i="9"/>
  <c r="AI81" i="9"/>
  <c r="AJ80" i="9"/>
  <c r="AI80" i="9"/>
  <c r="AJ79" i="9"/>
  <c r="AG79" i="9" s="1"/>
  <c r="AI79" i="9"/>
  <c r="AJ78" i="9"/>
  <c r="AI78" i="9"/>
  <c r="AJ77" i="9"/>
  <c r="AI77" i="9"/>
  <c r="AJ76" i="9"/>
  <c r="AG76" i="9" s="1"/>
  <c r="AI76" i="9"/>
  <c r="AF76" i="9" s="1"/>
  <c r="AB76" i="9" s="1"/>
  <c r="X76" i="9" s="1"/>
  <c r="T76" i="9" s="1"/>
  <c r="P76" i="9" s="1"/>
  <c r="L76" i="9" s="1"/>
  <c r="AJ75" i="9"/>
  <c r="AG75" i="9" s="1"/>
  <c r="AI75" i="9"/>
  <c r="AF75" i="9" s="1"/>
  <c r="AB75" i="9" s="1"/>
  <c r="X75" i="9" s="1"/>
  <c r="T75" i="9" s="1"/>
  <c r="P75" i="9" s="1"/>
  <c r="L75" i="9" s="1"/>
  <c r="AJ74" i="9"/>
  <c r="AI74" i="9"/>
  <c r="AJ73" i="9"/>
  <c r="AI73" i="9"/>
  <c r="AJ72" i="9"/>
  <c r="AI72" i="9"/>
  <c r="AJ71" i="9"/>
  <c r="AI71" i="9"/>
  <c r="AJ70" i="9"/>
  <c r="AI70" i="9"/>
  <c r="AJ69" i="9"/>
  <c r="AI69" i="9"/>
  <c r="AJ68" i="9"/>
  <c r="AG68" i="9" s="1"/>
  <c r="AI68" i="9"/>
  <c r="AF68" i="9" s="1"/>
  <c r="AB68" i="9" s="1"/>
  <c r="X68" i="9" s="1"/>
  <c r="T68" i="9" s="1"/>
  <c r="P68" i="9" s="1"/>
  <c r="L68" i="9" s="1"/>
  <c r="AJ67" i="9"/>
  <c r="AG67" i="9" s="1"/>
  <c r="AI67" i="9"/>
  <c r="AF67" i="9" s="1"/>
  <c r="AB67" i="9" s="1"/>
  <c r="X67" i="9" s="1"/>
  <c r="T67" i="9" s="1"/>
  <c r="P67" i="9" s="1"/>
  <c r="L67" i="9" s="1"/>
  <c r="AJ66" i="9"/>
  <c r="AI66" i="9"/>
  <c r="AF66" i="9" s="1"/>
  <c r="AB66" i="9" s="1"/>
  <c r="X66" i="9" s="1"/>
  <c r="T66" i="9" s="1"/>
  <c r="P66" i="9" s="1"/>
  <c r="L66" i="9" s="1"/>
  <c r="AJ65" i="9"/>
  <c r="AI65" i="9"/>
  <c r="AJ64" i="9"/>
  <c r="AI64" i="9"/>
  <c r="AJ63" i="9"/>
  <c r="AI63" i="9"/>
  <c r="AJ62" i="9"/>
  <c r="AI62" i="9"/>
  <c r="AJ61" i="9"/>
  <c r="AI61" i="9"/>
  <c r="AJ60" i="9"/>
  <c r="AG60" i="9" s="1"/>
  <c r="AI60" i="9"/>
  <c r="AF60" i="9" s="1"/>
  <c r="AB60" i="9" s="1"/>
  <c r="X60" i="9" s="1"/>
  <c r="T60" i="9" s="1"/>
  <c r="P60" i="9" s="1"/>
  <c r="L60" i="9" s="1"/>
  <c r="AJ59" i="9"/>
  <c r="AG59" i="9" s="1"/>
  <c r="AI59" i="9"/>
  <c r="AF59" i="9" s="1"/>
  <c r="AB59" i="9" s="1"/>
  <c r="X59" i="9" s="1"/>
  <c r="T59" i="9" s="1"/>
  <c r="P59" i="9" s="1"/>
  <c r="L59" i="9" s="1"/>
  <c r="AJ58" i="9"/>
  <c r="AI58" i="9"/>
  <c r="AJ57" i="9"/>
  <c r="AI57" i="9"/>
  <c r="AJ56" i="9"/>
  <c r="AI56" i="9"/>
  <c r="AJ55" i="9"/>
  <c r="AI55" i="9"/>
  <c r="AJ54" i="9"/>
  <c r="AI54" i="9"/>
  <c r="AJ53" i="9"/>
  <c r="AI53" i="9"/>
  <c r="AJ52" i="9"/>
  <c r="AG52" i="9" s="1"/>
  <c r="AI52" i="9"/>
  <c r="AJ51" i="9"/>
  <c r="AI51" i="9"/>
  <c r="AF51" i="9" s="1"/>
  <c r="AB51" i="9" s="1"/>
  <c r="X51" i="9" s="1"/>
  <c r="T51" i="9" s="1"/>
  <c r="P51" i="9" s="1"/>
  <c r="L51" i="9" s="1"/>
  <c r="AJ50" i="9"/>
  <c r="AI50" i="9"/>
  <c r="AF50" i="9" s="1"/>
  <c r="AB50" i="9" s="1"/>
  <c r="X50" i="9" s="1"/>
  <c r="T50" i="9" s="1"/>
  <c r="P50" i="9" s="1"/>
  <c r="L50" i="9" s="1"/>
  <c r="AJ49" i="9"/>
  <c r="AI49" i="9"/>
  <c r="AJ48" i="9"/>
  <c r="AI48" i="9"/>
  <c r="AJ47" i="9"/>
  <c r="AI47" i="9"/>
  <c r="AJ46" i="9"/>
  <c r="AI46" i="9"/>
  <c r="AJ45" i="9"/>
  <c r="AG45" i="9" s="1"/>
  <c r="AI45" i="9"/>
  <c r="AJ44" i="9"/>
  <c r="AI44" i="9"/>
  <c r="AJ43" i="9"/>
  <c r="AG43" i="9" s="1"/>
  <c r="AI43" i="9"/>
  <c r="AF43" i="9" s="1"/>
  <c r="AB43" i="9" s="1"/>
  <c r="X43" i="9" s="1"/>
  <c r="T43" i="9" s="1"/>
  <c r="P43" i="9" s="1"/>
  <c r="L43" i="9" s="1"/>
  <c r="AJ42" i="9"/>
  <c r="AI42" i="9"/>
  <c r="AF42" i="9" s="1"/>
  <c r="AB42" i="9" s="1"/>
  <c r="X42" i="9" s="1"/>
  <c r="T42" i="9" s="1"/>
  <c r="P42" i="9" s="1"/>
  <c r="L42" i="9" s="1"/>
  <c r="AJ41" i="9"/>
  <c r="AG41" i="9" s="1"/>
  <c r="AI41" i="9"/>
  <c r="AJ40" i="9"/>
  <c r="AI40" i="9"/>
  <c r="AJ39" i="9"/>
  <c r="AI39" i="9"/>
  <c r="AJ38" i="9"/>
  <c r="AI38" i="9"/>
  <c r="AJ37" i="9"/>
  <c r="AI37" i="9"/>
  <c r="AJ36" i="9"/>
  <c r="AI36" i="9"/>
  <c r="AJ35" i="9"/>
  <c r="AG35" i="9" s="1"/>
  <c r="AI35" i="9"/>
  <c r="AF35" i="9" s="1"/>
  <c r="AB35" i="9" s="1"/>
  <c r="X35" i="9" s="1"/>
  <c r="T35" i="9" s="1"/>
  <c r="P35" i="9" s="1"/>
  <c r="L35" i="9" s="1"/>
  <c r="AJ34" i="9"/>
  <c r="AG34" i="9" s="1"/>
  <c r="AI34" i="9"/>
  <c r="AJ33" i="9"/>
  <c r="AI33" i="9"/>
  <c r="AJ32" i="9"/>
  <c r="AI32" i="9"/>
  <c r="AJ31" i="9"/>
  <c r="AG31" i="9" s="1"/>
  <c r="AI31" i="9"/>
  <c r="AJ30" i="9"/>
  <c r="AI30" i="9"/>
  <c r="AJ29" i="9"/>
  <c r="AI29" i="9"/>
  <c r="AJ28" i="9"/>
  <c r="AG28" i="9" s="1"/>
  <c r="AI28" i="9"/>
  <c r="AF28" i="9" s="1"/>
  <c r="AB28" i="9" s="1"/>
  <c r="X28" i="9" s="1"/>
  <c r="T28" i="9" s="1"/>
  <c r="P28" i="9" s="1"/>
  <c r="L28" i="9" s="1"/>
  <c r="AJ27" i="9"/>
  <c r="AG27" i="9" s="1"/>
  <c r="AI27" i="9"/>
  <c r="AF27" i="9" s="1"/>
  <c r="AB27" i="9" s="1"/>
  <c r="X27" i="9" s="1"/>
  <c r="T27" i="9" s="1"/>
  <c r="P27" i="9" s="1"/>
  <c r="L27" i="9" s="1"/>
  <c r="AJ26" i="9"/>
  <c r="AI26" i="9"/>
  <c r="AF26" i="9" s="1"/>
  <c r="AB26" i="9" s="1"/>
  <c r="X26" i="9" s="1"/>
  <c r="T26" i="9" s="1"/>
  <c r="P26" i="9" s="1"/>
  <c r="L26" i="9" s="1"/>
  <c r="AJ25" i="9"/>
  <c r="AI25" i="9"/>
  <c r="AJ24" i="9"/>
  <c r="AI24" i="9"/>
  <c r="AJ23" i="9"/>
  <c r="AI23" i="9"/>
  <c r="AJ22" i="9"/>
  <c r="AI22" i="9"/>
  <c r="AJ21" i="9"/>
  <c r="AI21" i="9"/>
  <c r="AJ20" i="9"/>
  <c r="AG20" i="9" s="1"/>
  <c r="AI20" i="9"/>
  <c r="AF20" i="9" s="1"/>
  <c r="AB20" i="9" s="1"/>
  <c r="X20" i="9" s="1"/>
  <c r="T20" i="9" s="1"/>
  <c r="P20" i="9" s="1"/>
  <c r="L20" i="9" s="1"/>
  <c r="AJ19" i="9"/>
  <c r="AG19" i="9" s="1"/>
  <c r="AI19" i="9"/>
  <c r="AF19" i="9" s="1"/>
  <c r="AB19" i="9" s="1"/>
  <c r="X19" i="9" s="1"/>
  <c r="T19" i="9" s="1"/>
  <c r="P19" i="9" s="1"/>
  <c r="L19" i="9" s="1"/>
  <c r="AJ18" i="9"/>
  <c r="AI18" i="9"/>
  <c r="AF18" i="9" s="1"/>
  <c r="AB18" i="9" s="1"/>
  <c r="X18" i="9" s="1"/>
  <c r="T18" i="9" s="1"/>
  <c r="P18" i="9" s="1"/>
  <c r="L18" i="9" s="1"/>
  <c r="AJ17" i="9"/>
  <c r="AI17" i="9"/>
  <c r="AJ16" i="9"/>
  <c r="AI16" i="9"/>
  <c r="AJ15" i="9"/>
  <c r="AG15" i="9" s="1"/>
  <c r="AI15" i="9"/>
  <c r="AJ14" i="9"/>
  <c r="AI14" i="9"/>
  <c r="AJ13" i="9"/>
  <c r="AI13" i="9"/>
  <c r="AJ12" i="9"/>
  <c r="AG12" i="9" s="1"/>
  <c r="AI12" i="9"/>
  <c r="AF12" i="9" s="1"/>
  <c r="AB12" i="9" s="1"/>
  <c r="X12" i="9" s="1"/>
  <c r="T12" i="9" s="1"/>
  <c r="P12" i="9" s="1"/>
  <c r="L12" i="9" s="1"/>
  <c r="AJ11" i="9"/>
  <c r="AG11" i="9" s="1"/>
  <c r="AI11" i="9"/>
  <c r="AF11" i="9" s="1"/>
  <c r="AB11" i="9" s="1"/>
  <c r="X11" i="9" s="1"/>
  <c r="T11" i="9" s="1"/>
  <c r="P11" i="9" s="1"/>
  <c r="L11" i="9" s="1"/>
  <c r="AJ10" i="9"/>
  <c r="AG10" i="9" s="1"/>
  <c r="AI10" i="9"/>
  <c r="AF10" i="9" s="1"/>
  <c r="AB10" i="9" s="1"/>
  <c r="X10" i="9" s="1"/>
  <c r="T10" i="9" s="1"/>
  <c r="P10" i="9" s="1"/>
  <c r="L10" i="9" s="1"/>
  <c r="AJ9" i="9"/>
  <c r="AG9" i="9" s="1"/>
  <c r="AI9" i="9"/>
  <c r="AJ8" i="9"/>
  <c r="AI8" i="9"/>
  <c r="AJ7" i="9"/>
  <c r="AI7" i="9"/>
  <c r="AJ6" i="9"/>
  <c r="AI6" i="9"/>
  <c r="AJ5" i="9"/>
  <c r="AI5" i="9"/>
  <c r="AJ4" i="9"/>
  <c r="AI4" i="9"/>
  <c r="AF4" i="9" s="1"/>
  <c r="AB4" i="9" s="1"/>
  <c r="X4" i="9" s="1"/>
  <c r="T4" i="9" s="1"/>
  <c r="P4" i="9" s="1"/>
  <c r="L4" i="9" s="1"/>
  <c r="H4" i="9" s="1"/>
  <c r="AH146" i="9"/>
  <c r="AG146" i="9" s="1"/>
  <c r="AF146" i="9"/>
  <c r="AB146" i="9" s="1"/>
  <c r="X146" i="9" s="1"/>
  <c r="T146" i="9" s="1"/>
  <c r="P146" i="9" s="1"/>
  <c r="L146" i="9" s="1"/>
  <c r="AH145" i="9"/>
  <c r="AG145" i="9" s="1"/>
  <c r="AF145" i="9"/>
  <c r="AB145" i="9" s="1"/>
  <c r="X145" i="9" s="1"/>
  <c r="T145" i="9" s="1"/>
  <c r="P145" i="9" s="1"/>
  <c r="L145" i="9" s="1"/>
  <c r="AH144" i="9"/>
  <c r="AG144" i="9" s="1"/>
  <c r="AF144" i="9"/>
  <c r="AH143" i="9"/>
  <c r="AG143" i="9" s="1"/>
  <c r="AF143" i="9"/>
  <c r="AH142" i="9"/>
  <c r="AG142" i="9" s="1"/>
  <c r="AF142" i="9"/>
  <c r="AH141" i="9"/>
  <c r="AG141" i="9" s="1"/>
  <c r="AF141" i="9"/>
  <c r="AH140" i="9"/>
  <c r="AF140" i="9"/>
  <c r="AH139" i="9"/>
  <c r="AC139" i="9" s="1"/>
  <c r="AG139" i="9"/>
  <c r="AH138" i="9"/>
  <c r="AG138" i="9" s="1"/>
  <c r="AF138" i="9"/>
  <c r="AH137" i="9"/>
  <c r="AG137" i="9"/>
  <c r="AF137" i="9"/>
  <c r="AH136" i="9"/>
  <c r="AG136" i="9" s="1"/>
  <c r="AF136" i="9"/>
  <c r="AH135" i="9"/>
  <c r="AG135" i="9" s="1"/>
  <c r="AF135" i="9"/>
  <c r="AB135" i="9" s="1"/>
  <c r="X135" i="9" s="1"/>
  <c r="T135" i="9" s="1"/>
  <c r="P135" i="9" s="1"/>
  <c r="L135" i="9" s="1"/>
  <c r="AH134" i="9"/>
  <c r="AG134" i="9" s="1"/>
  <c r="AF134" i="9"/>
  <c r="AB134" i="9" s="1"/>
  <c r="X134" i="9" s="1"/>
  <c r="T134" i="9" s="1"/>
  <c r="P134" i="9" s="1"/>
  <c r="L134" i="9" s="1"/>
  <c r="AH133" i="9"/>
  <c r="AG133" i="9"/>
  <c r="AF133" i="9"/>
  <c r="AB133" i="9" s="1"/>
  <c r="X133" i="9" s="1"/>
  <c r="T133" i="9" s="1"/>
  <c r="P133" i="9" s="1"/>
  <c r="L133" i="9" s="1"/>
  <c r="AH132" i="9"/>
  <c r="AF132" i="9"/>
  <c r="AB132" i="9" s="1"/>
  <c r="X132" i="9" s="1"/>
  <c r="T132" i="9" s="1"/>
  <c r="P132" i="9" s="1"/>
  <c r="L132" i="9" s="1"/>
  <c r="AH131" i="9"/>
  <c r="AH130" i="9"/>
  <c r="AG130" i="9" s="1"/>
  <c r="AF130" i="9"/>
  <c r="AH129" i="9"/>
  <c r="AG129" i="9" s="1"/>
  <c r="AF129" i="9"/>
  <c r="AH128" i="9"/>
  <c r="AG128" i="9" s="1"/>
  <c r="AF128" i="9"/>
  <c r="AH127" i="9"/>
  <c r="AG127" i="9" s="1"/>
  <c r="AF127" i="9"/>
  <c r="AB127" i="9" s="1"/>
  <c r="X127" i="9" s="1"/>
  <c r="T127" i="9" s="1"/>
  <c r="P127" i="9" s="1"/>
  <c r="L127" i="9" s="1"/>
  <c r="AH126" i="9"/>
  <c r="AG126" i="9" s="1"/>
  <c r="AF126" i="9"/>
  <c r="AH125" i="9"/>
  <c r="AG125" i="9"/>
  <c r="AF125" i="9"/>
  <c r="AH124" i="9"/>
  <c r="AC124" i="9" s="1"/>
  <c r="AH123" i="9"/>
  <c r="AH122" i="9"/>
  <c r="AG122" i="9"/>
  <c r="AF122" i="9"/>
  <c r="AH121" i="9"/>
  <c r="AG121" i="9" s="1"/>
  <c r="AF121" i="9"/>
  <c r="AB121" i="9" s="1"/>
  <c r="X121" i="9" s="1"/>
  <c r="T121" i="9" s="1"/>
  <c r="P121" i="9" s="1"/>
  <c r="L121" i="9" s="1"/>
  <c r="AH120" i="9"/>
  <c r="AG120" i="9" s="1"/>
  <c r="AF120" i="9"/>
  <c r="AH119" i="9"/>
  <c r="AG119" i="9" s="1"/>
  <c r="AF119" i="9"/>
  <c r="AH118" i="9"/>
  <c r="AG118" i="9"/>
  <c r="AF118" i="9"/>
  <c r="AH117" i="9"/>
  <c r="AG117" i="9" s="1"/>
  <c r="AF117" i="9"/>
  <c r="AH116" i="9"/>
  <c r="AF116" i="9"/>
  <c r="AB116" i="9" s="1"/>
  <c r="X116" i="9" s="1"/>
  <c r="T116" i="9" s="1"/>
  <c r="P116" i="9" s="1"/>
  <c r="L116" i="9" s="1"/>
  <c r="AH115" i="9"/>
  <c r="AH114" i="9"/>
  <c r="AG114" i="9" s="1"/>
  <c r="AH113" i="9"/>
  <c r="AG113" i="9" s="1"/>
  <c r="AF113" i="9"/>
  <c r="AH112" i="9"/>
  <c r="AG112" i="9" s="1"/>
  <c r="AF112" i="9"/>
  <c r="AH111" i="9"/>
  <c r="AG111" i="9" s="1"/>
  <c r="AF111" i="9"/>
  <c r="AB111" i="9" s="1"/>
  <c r="X111" i="9" s="1"/>
  <c r="T111" i="9" s="1"/>
  <c r="P111" i="9" s="1"/>
  <c r="L111" i="9" s="1"/>
  <c r="AH110" i="9"/>
  <c r="AG110" i="9" s="1"/>
  <c r="AF110" i="9"/>
  <c r="AB110" i="9" s="1"/>
  <c r="X110" i="9" s="1"/>
  <c r="T110" i="9" s="1"/>
  <c r="P110" i="9" s="1"/>
  <c r="L110" i="9" s="1"/>
  <c r="AH109" i="9"/>
  <c r="AG109" i="9" s="1"/>
  <c r="AF109" i="9"/>
  <c r="AB109" i="9" s="1"/>
  <c r="X109" i="9" s="1"/>
  <c r="T109" i="9" s="1"/>
  <c r="P109" i="9" s="1"/>
  <c r="L109" i="9" s="1"/>
  <c r="AH108" i="9"/>
  <c r="AH107" i="9"/>
  <c r="AH106" i="9"/>
  <c r="AG106" i="9"/>
  <c r="AH105" i="9"/>
  <c r="AG105" i="9" s="1"/>
  <c r="AF105" i="9"/>
  <c r="AB105" i="9" s="1"/>
  <c r="X105" i="9" s="1"/>
  <c r="T105" i="9" s="1"/>
  <c r="P105" i="9" s="1"/>
  <c r="L105" i="9" s="1"/>
  <c r="AH104" i="9"/>
  <c r="AG104" i="9" s="1"/>
  <c r="AF104" i="9"/>
  <c r="AB104" i="9" s="1"/>
  <c r="X104" i="9" s="1"/>
  <c r="T104" i="9" s="1"/>
  <c r="P104" i="9" s="1"/>
  <c r="L104" i="9" s="1"/>
  <c r="AH103" i="9"/>
  <c r="AG103" i="9" s="1"/>
  <c r="AF103" i="9"/>
  <c r="AB103" i="9" s="1"/>
  <c r="X103" i="9" s="1"/>
  <c r="T103" i="9" s="1"/>
  <c r="P103" i="9" s="1"/>
  <c r="L103" i="9" s="1"/>
  <c r="AH102" i="9"/>
  <c r="AG102" i="9" s="1"/>
  <c r="AF102" i="9"/>
  <c r="AB102" i="9" s="1"/>
  <c r="X102" i="9" s="1"/>
  <c r="T102" i="9" s="1"/>
  <c r="P102" i="9" s="1"/>
  <c r="L102" i="9" s="1"/>
  <c r="AH101" i="9"/>
  <c r="AG101" i="9"/>
  <c r="AF101" i="9"/>
  <c r="AB101" i="9" s="1"/>
  <c r="X101" i="9" s="1"/>
  <c r="T101" i="9" s="1"/>
  <c r="P101" i="9" s="1"/>
  <c r="L101" i="9" s="1"/>
  <c r="AH100" i="9"/>
  <c r="AF100" i="9"/>
  <c r="AB100" i="9" s="1"/>
  <c r="X100" i="9" s="1"/>
  <c r="T100" i="9" s="1"/>
  <c r="P100" i="9" s="1"/>
  <c r="L100" i="9" s="1"/>
  <c r="AH99" i="9"/>
  <c r="AH98" i="9"/>
  <c r="AG98" i="9" s="1"/>
  <c r="AF98" i="9"/>
  <c r="AB98" i="9" s="1"/>
  <c r="X98" i="9" s="1"/>
  <c r="T98" i="9" s="1"/>
  <c r="P98" i="9" s="1"/>
  <c r="L98" i="9" s="1"/>
  <c r="AH97" i="9"/>
  <c r="AG97" i="9" s="1"/>
  <c r="AF97" i="9"/>
  <c r="AH96" i="9"/>
  <c r="AG96" i="9" s="1"/>
  <c r="AF96" i="9"/>
  <c r="AH95" i="9"/>
  <c r="AF95" i="9"/>
  <c r="AB95" i="9" s="1"/>
  <c r="X95" i="9" s="1"/>
  <c r="T95" i="9" s="1"/>
  <c r="P95" i="9" s="1"/>
  <c r="L95" i="9" s="1"/>
  <c r="AH94" i="9"/>
  <c r="AG94" i="9" s="1"/>
  <c r="AF94" i="9"/>
  <c r="AB94" i="9" s="1"/>
  <c r="X94" i="9" s="1"/>
  <c r="T94" i="9" s="1"/>
  <c r="P94" i="9" s="1"/>
  <c r="L94" i="9" s="1"/>
  <c r="AH93" i="9"/>
  <c r="AG93" i="9"/>
  <c r="AF93" i="9"/>
  <c r="AB93" i="9" s="1"/>
  <c r="X93" i="9" s="1"/>
  <c r="T93" i="9" s="1"/>
  <c r="P93" i="9" s="1"/>
  <c r="L93" i="9" s="1"/>
  <c r="AH92" i="9"/>
  <c r="AF92" i="9"/>
  <c r="AH91" i="9"/>
  <c r="AH90" i="9"/>
  <c r="AC90" i="9" s="1"/>
  <c r="AG90" i="9"/>
  <c r="AF90" i="9"/>
  <c r="AB90" i="9" s="1"/>
  <c r="X90" i="9" s="1"/>
  <c r="T90" i="9" s="1"/>
  <c r="P90" i="9" s="1"/>
  <c r="L90" i="9" s="1"/>
  <c r="AH89" i="9"/>
  <c r="AC89" i="9" s="1"/>
  <c r="AF89" i="9"/>
  <c r="AH88" i="9"/>
  <c r="AG88" i="9" s="1"/>
  <c r="AF88" i="9"/>
  <c r="AB88" i="9" s="1"/>
  <c r="X88" i="9" s="1"/>
  <c r="T88" i="9" s="1"/>
  <c r="P88" i="9" s="1"/>
  <c r="L88" i="9" s="1"/>
  <c r="AH87" i="9"/>
  <c r="AG87" i="9" s="1"/>
  <c r="AF87" i="9"/>
  <c r="AB87" i="9" s="1"/>
  <c r="X87" i="9" s="1"/>
  <c r="T87" i="9" s="1"/>
  <c r="P87" i="9" s="1"/>
  <c r="L87" i="9" s="1"/>
  <c r="AH86" i="9"/>
  <c r="AG86" i="9" s="1"/>
  <c r="AF86" i="9"/>
  <c r="AB86" i="9" s="1"/>
  <c r="X86" i="9" s="1"/>
  <c r="T86" i="9" s="1"/>
  <c r="P86" i="9" s="1"/>
  <c r="L86" i="9" s="1"/>
  <c r="AH85" i="9"/>
  <c r="AG85" i="9"/>
  <c r="AF85" i="9"/>
  <c r="AB85" i="9" s="1"/>
  <c r="X85" i="9" s="1"/>
  <c r="T85" i="9" s="1"/>
  <c r="P85" i="9" s="1"/>
  <c r="L85" i="9" s="1"/>
  <c r="AH84" i="9"/>
  <c r="AG84" i="9"/>
  <c r="AF84" i="9"/>
  <c r="AB84" i="9" s="1"/>
  <c r="X84" i="9" s="1"/>
  <c r="T84" i="9" s="1"/>
  <c r="P84" i="9" s="1"/>
  <c r="L84" i="9" s="1"/>
  <c r="AH83" i="9"/>
  <c r="AH82" i="9"/>
  <c r="AG82" i="9"/>
  <c r="AF82" i="9"/>
  <c r="AH81" i="9"/>
  <c r="AG81" i="9" s="1"/>
  <c r="AF81" i="9"/>
  <c r="AH80" i="9"/>
  <c r="AG80" i="9" s="1"/>
  <c r="AF80" i="9"/>
  <c r="AH79" i="9"/>
  <c r="AF79" i="9"/>
  <c r="AB79" i="9" s="1"/>
  <c r="X79" i="9" s="1"/>
  <c r="T79" i="9" s="1"/>
  <c r="P79" i="9" s="1"/>
  <c r="L79" i="9" s="1"/>
  <c r="AH78" i="9"/>
  <c r="AG78" i="9" s="1"/>
  <c r="AF78" i="9"/>
  <c r="AB78" i="9" s="1"/>
  <c r="X78" i="9" s="1"/>
  <c r="T78" i="9" s="1"/>
  <c r="P78" i="9" s="1"/>
  <c r="L78" i="9" s="1"/>
  <c r="AH77" i="9"/>
  <c r="AG77" i="9" s="1"/>
  <c r="AF77" i="9"/>
  <c r="AB77" i="9" s="1"/>
  <c r="X77" i="9" s="1"/>
  <c r="T77" i="9" s="1"/>
  <c r="P77" i="9" s="1"/>
  <c r="L77" i="9" s="1"/>
  <c r="AH76" i="9"/>
  <c r="AH75" i="9"/>
  <c r="AH74" i="9"/>
  <c r="AG74" i="9" s="1"/>
  <c r="AF74" i="9"/>
  <c r="AH73" i="9"/>
  <c r="AG73" i="9"/>
  <c r="AF73" i="9"/>
  <c r="AH72" i="9"/>
  <c r="AC72" i="9" s="1"/>
  <c r="AF72" i="9"/>
  <c r="AB72" i="9" s="1"/>
  <c r="X72" i="9" s="1"/>
  <c r="T72" i="9" s="1"/>
  <c r="P72" i="9" s="1"/>
  <c r="L72" i="9" s="1"/>
  <c r="AH71" i="9"/>
  <c r="AG71" i="9" s="1"/>
  <c r="AF71" i="9"/>
  <c r="AB71" i="9" s="1"/>
  <c r="X71" i="9" s="1"/>
  <c r="T71" i="9" s="1"/>
  <c r="P71" i="9" s="1"/>
  <c r="L71" i="9" s="1"/>
  <c r="AH70" i="9"/>
  <c r="AG70" i="9" s="1"/>
  <c r="AF70" i="9"/>
  <c r="AB70" i="9" s="1"/>
  <c r="X70" i="9" s="1"/>
  <c r="T70" i="9" s="1"/>
  <c r="P70" i="9" s="1"/>
  <c r="L70" i="9" s="1"/>
  <c r="AH69" i="9"/>
  <c r="AG69" i="9" s="1"/>
  <c r="AF69" i="9"/>
  <c r="AB69" i="9" s="1"/>
  <c r="X69" i="9" s="1"/>
  <c r="T69" i="9" s="1"/>
  <c r="P69" i="9" s="1"/>
  <c r="L69" i="9" s="1"/>
  <c r="AH68" i="9"/>
  <c r="AH67" i="9"/>
  <c r="AC67" i="9" s="1"/>
  <c r="AH66" i="9"/>
  <c r="AG66" i="9"/>
  <c r="AH65" i="9"/>
  <c r="AG65" i="9" s="1"/>
  <c r="AF65" i="9"/>
  <c r="AB65" i="9" s="1"/>
  <c r="X65" i="9" s="1"/>
  <c r="T65" i="9" s="1"/>
  <c r="P65" i="9" s="1"/>
  <c r="L65" i="9" s="1"/>
  <c r="AH64" i="9"/>
  <c r="AG64" i="9" s="1"/>
  <c r="AF64" i="9"/>
  <c r="AB64" i="9" s="1"/>
  <c r="X64" i="9" s="1"/>
  <c r="T64" i="9" s="1"/>
  <c r="P64" i="9" s="1"/>
  <c r="L64" i="9" s="1"/>
  <c r="AH63" i="9"/>
  <c r="AG63" i="9" s="1"/>
  <c r="AF63" i="9"/>
  <c r="AB63" i="9" s="1"/>
  <c r="X63" i="9" s="1"/>
  <c r="T63" i="9" s="1"/>
  <c r="P63" i="9" s="1"/>
  <c r="L63" i="9" s="1"/>
  <c r="AH62" i="9"/>
  <c r="AG62" i="9" s="1"/>
  <c r="AF62" i="9"/>
  <c r="AB62" i="9" s="1"/>
  <c r="X62" i="9" s="1"/>
  <c r="T62" i="9" s="1"/>
  <c r="P62" i="9" s="1"/>
  <c r="L62" i="9" s="1"/>
  <c r="AH61" i="9"/>
  <c r="AG61" i="9"/>
  <c r="AF61" i="9"/>
  <c r="AB61" i="9" s="1"/>
  <c r="X61" i="9" s="1"/>
  <c r="T61" i="9" s="1"/>
  <c r="P61" i="9" s="1"/>
  <c r="L61" i="9" s="1"/>
  <c r="AH60" i="9"/>
  <c r="AC60" i="9" s="1"/>
  <c r="AH59" i="9"/>
  <c r="AH58" i="9"/>
  <c r="AG58" i="9"/>
  <c r="AF58" i="9"/>
  <c r="AB58" i="9" s="1"/>
  <c r="X58" i="9" s="1"/>
  <c r="T58" i="9" s="1"/>
  <c r="P58" i="9" s="1"/>
  <c r="L58" i="9" s="1"/>
  <c r="AH57" i="9"/>
  <c r="AG57" i="9" s="1"/>
  <c r="AF57" i="9"/>
  <c r="AB57" i="9" s="1"/>
  <c r="X57" i="9" s="1"/>
  <c r="T57" i="9" s="1"/>
  <c r="P57" i="9" s="1"/>
  <c r="L57" i="9" s="1"/>
  <c r="AH56" i="9"/>
  <c r="AG56" i="9" s="1"/>
  <c r="AF56" i="9"/>
  <c r="AB56" i="9" s="1"/>
  <c r="X56" i="9" s="1"/>
  <c r="T56" i="9" s="1"/>
  <c r="P56" i="9" s="1"/>
  <c r="L56" i="9" s="1"/>
  <c r="AH55" i="9"/>
  <c r="AF55" i="9"/>
  <c r="AB55" i="9" s="1"/>
  <c r="X55" i="9" s="1"/>
  <c r="T55" i="9" s="1"/>
  <c r="P55" i="9" s="1"/>
  <c r="L55" i="9" s="1"/>
  <c r="AH54" i="9"/>
  <c r="AG54" i="9" s="1"/>
  <c r="AF54" i="9"/>
  <c r="AH53" i="9"/>
  <c r="AG53" i="9"/>
  <c r="AF53" i="9"/>
  <c r="AB53" i="9" s="1"/>
  <c r="X53" i="9" s="1"/>
  <c r="T53" i="9" s="1"/>
  <c r="P53" i="9" s="1"/>
  <c r="L53" i="9" s="1"/>
  <c r="AH52" i="9"/>
  <c r="AF52" i="9"/>
  <c r="AB52" i="9" s="1"/>
  <c r="X52" i="9" s="1"/>
  <c r="T52" i="9" s="1"/>
  <c r="P52" i="9" s="1"/>
  <c r="L52" i="9" s="1"/>
  <c r="AH51" i="9"/>
  <c r="AC51" i="9" s="1"/>
  <c r="AH50" i="9"/>
  <c r="AG50" i="9" s="1"/>
  <c r="AH49" i="9"/>
  <c r="AG49" i="9" s="1"/>
  <c r="AF49" i="9"/>
  <c r="AB49" i="9" s="1"/>
  <c r="X49" i="9" s="1"/>
  <c r="T49" i="9" s="1"/>
  <c r="P49" i="9" s="1"/>
  <c r="L49" i="9" s="1"/>
  <c r="AH48" i="9"/>
  <c r="AG48" i="9" s="1"/>
  <c r="AF48" i="9"/>
  <c r="AB48" i="9" s="1"/>
  <c r="X48" i="9" s="1"/>
  <c r="T48" i="9" s="1"/>
  <c r="P48" i="9" s="1"/>
  <c r="L48" i="9" s="1"/>
  <c r="AH47" i="9"/>
  <c r="AC47" i="9" s="1"/>
  <c r="AF47" i="9"/>
  <c r="AB47" i="9" s="1"/>
  <c r="X47" i="9" s="1"/>
  <c r="T47" i="9" s="1"/>
  <c r="P47" i="9" s="1"/>
  <c r="L47" i="9" s="1"/>
  <c r="AH46" i="9"/>
  <c r="AG46" i="9" s="1"/>
  <c r="AF46" i="9"/>
  <c r="AB46" i="9" s="1"/>
  <c r="X46" i="9" s="1"/>
  <c r="T46" i="9" s="1"/>
  <c r="P46" i="9" s="1"/>
  <c r="L46" i="9" s="1"/>
  <c r="AH45" i="9"/>
  <c r="AF45" i="9"/>
  <c r="AB45" i="9" s="1"/>
  <c r="X45" i="9" s="1"/>
  <c r="T45" i="9" s="1"/>
  <c r="P45" i="9" s="1"/>
  <c r="L45" i="9" s="1"/>
  <c r="AH44" i="9"/>
  <c r="AG44" i="9"/>
  <c r="AF44" i="9"/>
  <c r="AB44" i="9" s="1"/>
  <c r="X44" i="9" s="1"/>
  <c r="T44" i="9" s="1"/>
  <c r="P44" i="9" s="1"/>
  <c r="L44" i="9" s="1"/>
  <c r="AH43" i="9"/>
  <c r="AH42" i="9"/>
  <c r="AH41" i="9"/>
  <c r="AF41" i="9"/>
  <c r="AB41" i="9" s="1"/>
  <c r="X41" i="9" s="1"/>
  <c r="T41" i="9" s="1"/>
  <c r="P41" i="9" s="1"/>
  <c r="L41" i="9" s="1"/>
  <c r="AH40" i="9"/>
  <c r="AF40" i="9"/>
  <c r="AB40" i="9" s="1"/>
  <c r="X40" i="9" s="1"/>
  <c r="T40" i="9" s="1"/>
  <c r="P40" i="9" s="1"/>
  <c r="L40" i="9" s="1"/>
  <c r="AH39" i="9"/>
  <c r="AG39" i="9" s="1"/>
  <c r="AF39" i="9"/>
  <c r="AB39" i="9" s="1"/>
  <c r="X39" i="9" s="1"/>
  <c r="T39" i="9" s="1"/>
  <c r="P39" i="9" s="1"/>
  <c r="L39" i="9" s="1"/>
  <c r="AH38" i="9"/>
  <c r="AG38" i="9" s="1"/>
  <c r="AF38" i="9"/>
  <c r="AB38" i="9" s="1"/>
  <c r="X38" i="9" s="1"/>
  <c r="T38" i="9" s="1"/>
  <c r="P38" i="9" s="1"/>
  <c r="L38" i="9" s="1"/>
  <c r="AH37" i="9"/>
  <c r="AG37" i="9"/>
  <c r="AF37" i="9"/>
  <c r="AB37" i="9" s="1"/>
  <c r="X37" i="9" s="1"/>
  <c r="T37" i="9" s="1"/>
  <c r="P37" i="9" s="1"/>
  <c r="L37" i="9" s="1"/>
  <c r="AH36" i="9"/>
  <c r="AG36" i="9"/>
  <c r="AF36" i="9"/>
  <c r="AB36" i="9" s="1"/>
  <c r="X36" i="9" s="1"/>
  <c r="T36" i="9" s="1"/>
  <c r="P36" i="9" s="1"/>
  <c r="L36" i="9" s="1"/>
  <c r="AH35" i="9"/>
  <c r="AH34" i="9"/>
  <c r="AF34" i="9"/>
  <c r="AH33" i="9"/>
  <c r="AG33" i="9" s="1"/>
  <c r="AF33" i="9"/>
  <c r="AH32" i="9"/>
  <c r="AG32" i="9" s="1"/>
  <c r="AF32" i="9"/>
  <c r="AH31" i="9"/>
  <c r="AF31" i="9"/>
  <c r="AB31" i="9" s="1"/>
  <c r="X31" i="9" s="1"/>
  <c r="T31" i="9" s="1"/>
  <c r="P31" i="9" s="1"/>
  <c r="L31" i="9" s="1"/>
  <c r="AH30" i="9"/>
  <c r="AG30" i="9" s="1"/>
  <c r="AF30" i="9"/>
  <c r="AB30" i="9" s="1"/>
  <c r="X30" i="9" s="1"/>
  <c r="T30" i="9" s="1"/>
  <c r="P30" i="9" s="1"/>
  <c r="L30" i="9" s="1"/>
  <c r="AH29" i="9"/>
  <c r="AG29" i="9"/>
  <c r="AF29" i="9"/>
  <c r="AB29" i="9" s="1"/>
  <c r="X29" i="9" s="1"/>
  <c r="T29" i="9" s="1"/>
  <c r="P29" i="9" s="1"/>
  <c r="L29" i="9" s="1"/>
  <c r="AH28" i="9"/>
  <c r="AC28" i="9" s="1"/>
  <c r="AH27" i="9"/>
  <c r="AH26" i="9"/>
  <c r="AH25" i="9"/>
  <c r="AG25" i="9"/>
  <c r="AF25" i="9"/>
  <c r="AH24" i="9"/>
  <c r="AG24" i="9" s="1"/>
  <c r="AF24" i="9"/>
  <c r="AH23" i="9"/>
  <c r="AF23" i="9"/>
  <c r="AB23" i="9" s="1"/>
  <c r="X23" i="9" s="1"/>
  <c r="T23" i="9" s="1"/>
  <c r="P23" i="9" s="1"/>
  <c r="L23" i="9" s="1"/>
  <c r="AH22" i="9"/>
  <c r="AG22" i="9" s="1"/>
  <c r="AF22" i="9"/>
  <c r="AB22" i="9" s="1"/>
  <c r="X22" i="9" s="1"/>
  <c r="T22" i="9" s="1"/>
  <c r="P22" i="9" s="1"/>
  <c r="L22" i="9" s="1"/>
  <c r="AH21" i="9"/>
  <c r="AC21" i="9" s="1"/>
  <c r="AG21" i="9"/>
  <c r="AF21" i="9"/>
  <c r="AB21" i="9" s="1"/>
  <c r="X21" i="9" s="1"/>
  <c r="T21" i="9" s="1"/>
  <c r="P21" i="9" s="1"/>
  <c r="L21" i="9" s="1"/>
  <c r="AH20" i="9"/>
  <c r="AH19" i="9"/>
  <c r="AH18" i="9"/>
  <c r="AH17" i="9"/>
  <c r="AF17" i="9"/>
  <c r="AH16" i="9"/>
  <c r="AG16" i="9" s="1"/>
  <c r="AF16" i="9"/>
  <c r="AB16" i="9" s="1"/>
  <c r="X16" i="9" s="1"/>
  <c r="T16" i="9" s="1"/>
  <c r="P16" i="9" s="1"/>
  <c r="L16" i="9" s="1"/>
  <c r="AH15" i="9"/>
  <c r="AF15" i="9"/>
  <c r="AB15" i="9" s="1"/>
  <c r="X15" i="9" s="1"/>
  <c r="T15" i="9" s="1"/>
  <c r="P15" i="9" s="1"/>
  <c r="L15" i="9" s="1"/>
  <c r="AH14" i="9"/>
  <c r="AG14" i="9" s="1"/>
  <c r="AF14" i="9"/>
  <c r="AB14" i="9" s="1"/>
  <c r="X14" i="9" s="1"/>
  <c r="T14" i="9" s="1"/>
  <c r="P14" i="9" s="1"/>
  <c r="L14" i="9" s="1"/>
  <c r="AH13" i="9"/>
  <c r="AG13" i="9" s="1"/>
  <c r="AF13" i="9"/>
  <c r="AH12" i="9"/>
  <c r="AH11" i="9"/>
  <c r="AH10" i="9"/>
  <c r="AH9" i="9"/>
  <c r="AC9" i="9" s="1"/>
  <c r="AF9" i="9"/>
  <c r="AB9" i="9" s="1"/>
  <c r="X9" i="9" s="1"/>
  <c r="T9" i="9" s="1"/>
  <c r="P9" i="9" s="1"/>
  <c r="L9" i="9" s="1"/>
  <c r="AH8" i="9"/>
  <c r="AF8" i="9"/>
  <c r="AB8" i="9" s="1"/>
  <c r="X8" i="9" s="1"/>
  <c r="T8" i="9" s="1"/>
  <c r="P8" i="9" s="1"/>
  <c r="L8" i="9" s="1"/>
  <c r="AH7" i="9"/>
  <c r="AF7" i="9"/>
  <c r="AB7" i="9" s="1"/>
  <c r="X7" i="9" s="1"/>
  <c r="T7" i="9" s="1"/>
  <c r="P7" i="9" s="1"/>
  <c r="L7" i="9" s="1"/>
  <c r="AH6" i="9"/>
  <c r="AG6" i="9" s="1"/>
  <c r="AF6" i="9"/>
  <c r="AB6" i="9" s="1"/>
  <c r="X6" i="9" s="1"/>
  <c r="T6" i="9" s="1"/>
  <c r="P6" i="9" s="1"/>
  <c r="L6" i="9" s="1"/>
  <c r="AH5" i="9"/>
  <c r="AG5" i="9" s="1"/>
  <c r="AF5" i="9"/>
  <c r="AH4" i="9"/>
  <c r="AD146" i="9"/>
  <c r="AD145" i="9"/>
  <c r="AC145" i="9" s="1"/>
  <c r="AD144" i="9"/>
  <c r="AC144" i="9" s="1"/>
  <c r="AB144" i="9"/>
  <c r="AD143" i="9"/>
  <c r="AB143" i="9"/>
  <c r="X143" i="9" s="1"/>
  <c r="T143" i="9" s="1"/>
  <c r="P143" i="9" s="1"/>
  <c r="L143" i="9" s="1"/>
  <c r="AD142" i="9"/>
  <c r="AB142" i="9"/>
  <c r="X142" i="9" s="1"/>
  <c r="T142" i="9" s="1"/>
  <c r="P142" i="9" s="1"/>
  <c r="L142" i="9" s="1"/>
  <c r="AD141" i="9"/>
  <c r="AC141" i="9" s="1"/>
  <c r="AB141" i="9"/>
  <c r="X141" i="9" s="1"/>
  <c r="T141" i="9" s="1"/>
  <c r="P141" i="9" s="1"/>
  <c r="L141" i="9" s="1"/>
  <c r="AD140" i="9"/>
  <c r="AC140" i="9" s="1"/>
  <c r="AB140" i="9"/>
  <c r="X140" i="9" s="1"/>
  <c r="T140" i="9" s="1"/>
  <c r="P140" i="9" s="1"/>
  <c r="L140" i="9" s="1"/>
  <c r="AD139" i="9"/>
  <c r="AD138" i="9"/>
  <c r="AC138" i="9" s="1"/>
  <c r="AB138" i="9"/>
  <c r="X138" i="9" s="1"/>
  <c r="T138" i="9" s="1"/>
  <c r="P138" i="9" s="1"/>
  <c r="L138" i="9" s="1"/>
  <c r="AD137" i="9"/>
  <c r="AC137" i="9"/>
  <c r="AB137" i="9"/>
  <c r="X137" i="9" s="1"/>
  <c r="T137" i="9" s="1"/>
  <c r="P137" i="9" s="1"/>
  <c r="L137" i="9" s="1"/>
  <c r="AD136" i="9"/>
  <c r="Y136" i="9" s="1"/>
  <c r="AB136" i="9"/>
  <c r="X136" i="9" s="1"/>
  <c r="T136" i="9" s="1"/>
  <c r="P136" i="9" s="1"/>
  <c r="L136" i="9" s="1"/>
  <c r="AD135" i="9"/>
  <c r="Y135" i="9" s="1"/>
  <c r="AC135" i="9"/>
  <c r="AD134" i="9"/>
  <c r="AC134" i="9" s="1"/>
  <c r="AD133" i="9"/>
  <c r="AC133" i="9" s="1"/>
  <c r="AD132" i="9"/>
  <c r="AD131" i="9"/>
  <c r="AC131" i="9" s="1"/>
  <c r="AD130" i="9"/>
  <c r="AC130" i="9" s="1"/>
  <c r="AB130" i="9"/>
  <c r="X130" i="9" s="1"/>
  <c r="T130" i="9" s="1"/>
  <c r="P130" i="9" s="1"/>
  <c r="L130" i="9" s="1"/>
  <c r="AD129" i="9"/>
  <c r="AB129" i="9"/>
  <c r="X129" i="9" s="1"/>
  <c r="T129" i="9" s="1"/>
  <c r="P129" i="9" s="1"/>
  <c r="L129" i="9" s="1"/>
  <c r="AD128" i="9"/>
  <c r="AB128" i="9"/>
  <c r="X128" i="9" s="1"/>
  <c r="T128" i="9" s="1"/>
  <c r="P128" i="9" s="1"/>
  <c r="L128" i="9" s="1"/>
  <c r="AD127" i="9"/>
  <c r="AC127" i="9" s="1"/>
  <c r="AD126" i="9"/>
  <c r="AB126" i="9"/>
  <c r="X126" i="9" s="1"/>
  <c r="T126" i="9" s="1"/>
  <c r="P126" i="9" s="1"/>
  <c r="L126" i="9" s="1"/>
  <c r="AD125" i="9"/>
  <c r="AB125" i="9"/>
  <c r="X125" i="9" s="1"/>
  <c r="T125" i="9" s="1"/>
  <c r="P125" i="9" s="1"/>
  <c r="L125" i="9" s="1"/>
  <c r="AD124" i="9"/>
  <c r="AD123" i="9"/>
  <c r="AC123" i="9" s="1"/>
  <c r="AD122" i="9"/>
  <c r="AC122" i="9" s="1"/>
  <c r="AB122" i="9"/>
  <c r="X122" i="9" s="1"/>
  <c r="T122" i="9" s="1"/>
  <c r="P122" i="9" s="1"/>
  <c r="L122" i="9" s="1"/>
  <c r="AD121" i="9"/>
  <c r="AD120" i="9"/>
  <c r="AB120" i="9"/>
  <c r="X120" i="9" s="1"/>
  <c r="T120" i="9" s="1"/>
  <c r="P120" i="9" s="1"/>
  <c r="L120" i="9" s="1"/>
  <c r="AD119" i="9"/>
  <c r="AC119" i="9"/>
  <c r="AB119" i="9"/>
  <c r="X119" i="9" s="1"/>
  <c r="T119" i="9" s="1"/>
  <c r="P119" i="9" s="1"/>
  <c r="L119" i="9" s="1"/>
  <c r="AD118" i="9"/>
  <c r="AB118" i="9"/>
  <c r="X118" i="9" s="1"/>
  <c r="T118" i="9" s="1"/>
  <c r="P118" i="9" s="1"/>
  <c r="L118" i="9" s="1"/>
  <c r="AD117" i="9"/>
  <c r="AC117" i="9" s="1"/>
  <c r="AB117" i="9"/>
  <c r="X117" i="9" s="1"/>
  <c r="T117" i="9" s="1"/>
  <c r="P117" i="9" s="1"/>
  <c r="L117" i="9" s="1"/>
  <c r="AD116" i="9"/>
  <c r="AC116" i="9" s="1"/>
  <c r="AD115" i="9"/>
  <c r="AC115" i="9"/>
  <c r="AD114" i="9"/>
  <c r="AC114" i="9" s="1"/>
  <c r="AD113" i="9"/>
  <c r="AB113" i="9"/>
  <c r="X113" i="9" s="1"/>
  <c r="T113" i="9" s="1"/>
  <c r="P113" i="9" s="1"/>
  <c r="L113" i="9" s="1"/>
  <c r="AD112" i="9"/>
  <c r="AB112" i="9"/>
  <c r="X112" i="9" s="1"/>
  <c r="T112" i="9" s="1"/>
  <c r="P112" i="9" s="1"/>
  <c r="L112" i="9" s="1"/>
  <c r="AD111" i="9"/>
  <c r="AD110" i="9"/>
  <c r="AD109" i="9"/>
  <c r="AC109" i="9" s="1"/>
  <c r="AD108" i="9"/>
  <c r="AC108" i="9" s="1"/>
  <c r="AD107" i="9"/>
  <c r="AC107" i="9"/>
  <c r="AD106" i="9"/>
  <c r="AC106" i="9"/>
  <c r="AD105" i="9"/>
  <c r="AD104" i="9"/>
  <c r="Y104" i="9" s="1"/>
  <c r="AD103" i="9"/>
  <c r="Y103" i="9" s="1"/>
  <c r="AD102" i="9"/>
  <c r="AC102" i="9" s="1"/>
  <c r="AD101" i="9"/>
  <c r="AC101" i="9" s="1"/>
  <c r="AD100" i="9"/>
  <c r="AC100" i="9" s="1"/>
  <c r="AD99" i="9"/>
  <c r="AC99" i="9" s="1"/>
  <c r="AD98" i="9"/>
  <c r="AD97" i="9"/>
  <c r="AB97" i="9"/>
  <c r="X97" i="9" s="1"/>
  <c r="T97" i="9" s="1"/>
  <c r="P97" i="9" s="1"/>
  <c r="L97" i="9" s="1"/>
  <c r="AD96" i="9"/>
  <c r="AB96" i="9"/>
  <c r="X96" i="9" s="1"/>
  <c r="T96" i="9" s="1"/>
  <c r="P96" i="9" s="1"/>
  <c r="L96" i="9" s="1"/>
  <c r="AD95" i="9"/>
  <c r="AD94" i="9"/>
  <c r="AD93" i="9"/>
  <c r="AC93" i="9" s="1"/>
  <c r="AD92" i="9"/>
  <c r="AC92" i="9" s="1"/>
  <c r="AB92" i="9"/>
  <c r="X92" i="9" s="1"/>
  <c r="T92" i="9" s="1"/>
  <c r="P92" i="9" s="1"/>
  <c r="L92" i="9" s="1"/>
  <c r="AD91" i="9"/>
  <c r="AC91" i="9" s="1"/>
  <c r="AD90" i="9"/>
  <c r="AD89" i="9"/>
  <c r="AB89" i="9"/>
  <c r="X89" i="9" s="1"/>
  <c r="T89" i="9" s="1"/>
  <c r="P89" i="9" s="1"/>
  <c r="L89" i="9" s="1"/>
  <c r="AD88" i="9"/>
  <c r="Y88" i="9" s="1"/>
  <c r="AC88" i="9"/>
  <c r="AD87" i="9"/>
  <c r="AD86" i="9"/>
  <c r="AC86" i="9" s="1"/>
  <c r="AD85" i="9"/>
  <c r="AC85" i="9" s="1"/>
  <c r="AD84" i="9"/>
  <c r="Y84" i="9" s="1"/>
  <c r="AD83" i="9"/>
  <c r="AD82" i="9"/>
  <c r="AC82" i="9" s="1"/>
  <c r="AB82" i="9"/>
  <c r="X82" i="9" s="1"/>
  <c r="T82" i="9" s="1"/>
  <c r="P82" i="9" s="1"/>
  <c r="L82" i="9" s="1"/>
  <c r="AD81" i="9"/>
  <c r="AB81" i="9"/>
  <c r="X81" i="9" s="1"/>
  <c r="T81" i="9" s="1"/>
  <c r="P81" i="9" s="1"/>
  <c r="L81" i="9" s="1"/>
  <c r="AD80" i="9"/>
  <c r="AB80" i="9"/>
  <c r="AD79" i="9"/>
  <c r="AC79" i="9" s="1"/>
  <c r="AD78" i="9"/>
  <c r="Y78" i="9" s="1"/>
  <c r="AD77" i="9"/>
  <c r="AD76" i="9"/>
  <c r="AC76" i="9"/>
  <c r="AD75" i="9"/>
  <c r="AC75" i="9"/>
  <c r="AD74" i="9"/>
  <c r="AC74" i="9"/>
  <c r="AB74" i="9"/>
  <c r="X74" i="9" s="1"/>
  <c r="T74" i="9" s="1"/>
  <c r="P74" i="9" s="1"/>
  <c r="L74" i="9" s="1"/>
  <c r="AD73" i="9"/>
  <c r="AB73" i="9"/>
  <c r="X73" i="9" s="1"/>
  <c r="T73" i="9" s="1"/>
  <c r="P73" i="9" s="1"/>
  <c r="L73" i="9" s="1"/>
  <c r="AD72" i="9"/>
  <c r="AD71" i="9"/>
  <c r="AD70" i="9"/>
  <c r="AC70" i="9" s="1"/>
  <c r="AD69" i="9"/>
  <c r="AC69" i="9"/>
  <c r="AD68" i="9"/>
  <c r="AC68" i="9" s="1"/>
  <c r="AD67" i="9"/>
  <c r="AD66" i="9"/>
  <c r="AC66" i="9" s="1"/>
  <c r="AD65" i="9"/>
  <c r="AD64" i="9"/>
  <c r="AD63" i="9"/>
  <c r="AC63" i="9"/>
  <c r="AD62" i="9"/>
  <c r="AD61" i="9"/>
  <c r="AC61" i="9" s="1"/>
  <c r="AD60" i="9"/>
  <c r="AD59" i="9"/>
  <c r="Y59" i="9" s="1"/>
  <c r="AC59" i="9"/>
  <c r="AD58" i="9"/>
  <c r="AC58" i="9"/>
  <c r="AD57" i="9"/>
  <c r="AC57" i="9"/>
  <c r="AD56" i="9"/>
  <c r="AC56" i="9" s="1"/>
  <c r="AD55" i="9"/>
  <c r="Y55" i="9" s="1"/>
  <c r="AD54" i="9"/>
  <c r="AC54" i="9" s="1"/>
  <c r="AB54" i="9"/>
  <c r="X54" i="9" s="1"/>
  <c r="T54" i="9" s="1"/>
  <c r="P54" i="9" s="1"/>
  <c r="L54" i="9" s="1"/>
  <c r="AD53" i="9"/>
  <c r="AC53" i="9" s="1"/>
  <c r="AD52" i="9"/>
  <c r="AD51" i="9"/>
  <c r="AD50" i="9"/>
  <c r="AC50" i="9" s="1"/>
  <c r="AD49" i="9"/>
  <c r="AD48" i="9"/>
  <c r="AC48" i="9" s="1"/>
  <c r="AD47" i="9"/>
  <c r="AD46" i="9"/>
  <c r="AD45" i="9"/>
  <c r="AC45" i="9" s="1"/>
  <c r="AD44" i="9"/>
  <c r="Y44" i="9" s="1"/>
  <c r="AC44" i="9"/>
  <c r="AD43" i="9"/>
  <c r="Y43" i="9" s="1"/>
  <c r="AD42" i="9"/>
  <c r="AC42" i="9"/>
  <c r="AD41" i="9"/>
  <c r="AD40" i="9"/>
  <c r="AD39" i="9"/>
  <c r="AD38" i="9"/>
  <c r="AC38" i="9" s="1"/>
  <c r="AD37" i="9"/>
  <c r="AC37" i="9" s="1"/>
  <c r="AD36" i="9"/>
  <c r="AD35" i="9"/>
  <c r="Y35" i="9" s="1"/>
  <c r="AC35" i="9"/>
  <c r="AD34" i="9"/>
  <c r="AB34" i="9"/>
  <c r="X34" i="9" s="1"/>
  <c r="T34" i="9" s="1"/>
  <c r="P34" i="9" s="1"/>
  <c r="L34" i="9" s="1"/>
  <c r="AD33" i="9"/>
  <c r="AB33" i="9"/>
  <c r="X33" i="9" s="1"/>
  <c r="T33" i="9" s="1"/>
  <c r="P33" i="9" s="1"/>
  <c r="L33" i="9" s="1"/>
  <c r="AD32" i="9"/>
  <c r="AC32" i="9" s="1"/>
  <c r="AB32" i="9"/>
  <c r="AD31" i="9"/>
  <c r="AC31" i="9"/>
  <c r="AD30" i="9"/>
  <c r="AD29" i="9"/>
  <c r="AC29" i="9" s="1"/>
  <c r="AD28" i="9"/>
  <c r="AD27" i="9"/>
  <c r="Y27" i="9" s="1"/>
  <c r="AD26" i="9"/>
  <c r="Y26" i="9" s="1"/>
  <c r="AC26" i="9"/>
  <c r="AD25" i="9"/>
  <c r="Y25" i="9" s="1"/>
  <c r="AB25" i="9"/>
  <c r="X25" i="9" s="1"/>
  <c r="T25" i="9" s="1"/>
  <c r="P25" i="9" s="1"/>
  <c r="L25" i="9" s="1"/>
  <c r="AD24" i="9"/>
  <c r="AB24" i="9"/>
  <c r="AD23" i="9"/>
  <c r="AC23" i="9"/>
  <c r="AD22" i="9"/>
  <c r="AD21" i="9"/>
  <c r="AD20" i="9"/>
  <c r="AD19" i="9"/>
  <c r="AC19" i="9"/>
  <c r="AD18" i="9"/>
  <c r="AD17" i="9"/>
  <c r="AB17" i="9"/>
  <c r="X17" i="9" s="1"/>
  <c r="T17" i="9" s="1"/>
  <c r="P17" i="9" s="1"/>
  <c r="L17" i="9" s="1"/>
  <c r="AD16" i="9"/>
  <c r="AC16" i="9" s="1"/>
  <c r="AD15" i="9"/>
  <c r="AD14" i="9"/>
  <c r="AD13" i="9"/>
  <c r="AB13" i="9"/>
  <c r="X13" i="9" s="1"/>
  <c r="T13" i="9" s="1"/>
  <c r="P13" i="9" s="1"/>
  <c r="L13" i="9" s="1"/>
  <c r="AD12" i="9"/>
  <c r="AC12" i="9"/>
  <c r="AD11" i="9"/>
  <c r="AC11" i="9"/>
  <c r="AD10" i="9"/>
  <c r="AC10" i="9"/>
  <c r="AD9" i="9"/>
  <c r="AD8" i="9"/>
  <c r="AD7" i="9"/>
  <c r="AC7" i="9" s="1"/>
  <c r="AD6" i="9"/>
  <c r="AD5" i="9"/>
  <c r="AC5" i="9" s="1"/>
  <c r="AB5" i="9"/>
  <c r="X5" i="9" s="1"/>
  <c r="T5" i="9" s="1"/>
  <c r="P5" i="9" s="1"/>
  <c r="L5" i="9" s="1"/>
  <c r="AD4" i="9"/>
  <c r="Z146" i="9"/>
  <c r="Z145" i="9"/>
  <c r="Y145" i="9" s="1"/>
  <c r="Z144" i="9"/>
  <c r="Y144" i="9" s="1"/>
  <c r="X144" i="9"/>
  <c r="T144" i="9" s="1"/>
  <c r="P144" i="9" s="1"/>
  <c r="L144" i="9" s="1"/>
  <c r="Z143" i="9"/>
  <c r="Y143" i="9" s="1"/>
  <c r="Z142" i="9"/>
  <c r="Y142" i="9" s="1"/>
  <c r="Z141" i="9"/>
  <c r="Z140" i="9"/>
  <c r="Z139" i="9"/>
  <c r="Y139" i="9" s="1"/>
  <c r="Z138" i="9"/>
  <c r="Y138" i="9"/>
  <c r="Z137" i="9"/>
  <c r="Y137" i="9" s="1"/>
  <c r="Z136" i="9"/>
  <c r="Z135" i="9"/>
  <c r="Z134" i="9"/>
  <c r="Z133" i="9"/>
  <c r="Y133" i="9"/>
  <c r="Z132" i="9"/>
  <c r="Y132" i="9"/>
  <c r="Z131" i="9"/>
  <c r="Y131" i="9"/>
  <c r="Z130" i="9"/>
  <c r="Y130" i="9" s="1"/>
  <c r="Z129" i="9"/>
  <c r="Y129" i="9" s="1"/>
  <c r="Z128" i="9"/>
  <c r="Y128" i="9" s="1"/>
  <c r="Z127" i="9"/>
  <c r="Y127" i="9" s="1"/>
  <c r="Z126" i="9"/>
  <c r="Z125" i="9"/>
  <c r="Z124" i="9"/>
  <c r="Y124" i="9" s="1"/>
  <c r="Z123" i="9"/>
  <c r="Y123" i="9"/>
  <c r="Z122" i="9"/>
  <c r="Y122" i="9"/>
  <c r="Z121" i="9"/>
  <c r="Y121" i="9" s="1"/>
  <c r="Z120" i="9"/>
  <c r="Y120" i="9" s="1"/>
  <c r="Z119" i="9"/>
  <c r="Y119" i="9"/>
  <c r="Z118" i="9"/>
  <c r="Y118" i="9" s="1"/>
  <c r="Z117" i="9"/>
  <c r="Y117" i="9" s="1"/>
  <c r="Z116" i="9"/>
  <c r="Y116" i="9"/>
  <c r="Z115" i="9"/>
  <c r="Y115" i="9" s="1"/>
  <c r="Z114" i="9"/>
  <c r="Y114" i="9" s="1"/>
  <c r="Z113" i="9"/>
  <c r="Y113" i="9" s="1"/>
  <c r="Z112" i="9"/>
  <c r="Y112" i="9" s="1"/>
  <c r="Z111" i="9"/>
  <c r="Z110" i="9"/>
  <c r="Z109" i="9"/>
  <c r="Z108" i="9"/>
  <c r="Y108" i="9" s="1"/>
  <c r="Z107" i="9"/>
  <c r="Y107" i="9"/>
  <c r="Z106" i="9"/>
  <c r="Y106" i="9" s="1"/>
  <c r="Z105" i="9"/>
  <c r="Y105" i="9" s="1"/>
  <c r="Z104" i="9"/>
  <c r="Z103" i="9"/>
  <c r="Z102" i="9"/>
  <c r="Z101" i="9"/>
  <c r="Z100" i="9"/>
  <c r="Z99" i="9"/>
  <c r="Y99" i="9" s="1"/>
  <c r="Z98" i="9"/>
  <c r="Y98" i="9" s="1"/>
  <c r="Z97" i="9"/>
  <c r="Y97" i="9" s="1"/>
  <c r="Z96" i="9"/>
  <c r="Y96" i="9" s="1"/>
  <c r="Z95" i="9"/>
  <c r="Z94" i="9"/>
  <c r="Y94" i="9" s="1"/>
  <c r="Z93" i="9"/>
  <c r="Z92" i="9"/>
  <c r="Z91" i="9"/>
  <c r="Z90" i="9"/>
  <c r="Y90" i="9"/>
  <c r="Z89" i="9"/>
  <c r="Y89" i="9"/>
  <c r="Z88" i="9"/>
  <c r="Z87" i="9"/>
  <c r="Y87" i="9" s="1"/>
  <c r="Z86" i="9"/>
  <c r="Z85" i="9"/>
  <c r="Y85" i="9" s="1"/>
  <c r="Z84" i="9"/>
  <c r="Z83" i="9"/>
  <c r="Z82" i="9"/>
  <c r="Z81" i="9"/>
  <c r="Y81" i="9" s="1"/>
  <c r="Z80" i="9"/>
  <c r="Y80" i="9" s="1"/>
  <c r="X80" i="9"/>
  <c r="T80" i="9" s="1"/>
  <c r="P80" i="9" s="1"/>
  <c r="L80" i="9" s="1"/>
  <c r="Z79" i="9"/>
  <c r="Z78" i="9"/>
  <c r="Z77" i="9"/>
  <c r="Z76" i="9"/>
  <c r="Y76" i="9" s="1"/>
  <c r="Z75" i="9"/>
  <c r="Y75" i="9" s="1"/>
  <c r="Z74" i="9"/>
  <c r="Y74" i="9"/>
  <c r="Z73" i="9"/>
  <c r="Y73" i="9" s="1"/>
  <c r="Z72" i="9"/>
  <c r="Z71" i="9"/>
  <c r="Y71" i="9"/>
  <c r="Z70" i="9"/>
  <c r="Z69" i="9"/>
  <c r="Y69" i="9"/>
  <c r="Z68" i="9"/>
  <c r="Z67" i="9"/>
  <c r="Z66" i="9"/>
  <c r="Y66" i="9" s="1"/>
  <c r="Z65" i="9"/>
  <c r="Z64" i="9"/>
  <c r="Y64" i="9" s="1"/>
  <c r="Z63" i="9"/>
  <c r="Z62" i="9"/>
  <c r="Y62" i="9" s="1"/>
  <c r="Z61" i="9"/>
  <c r="Z60" i="9"/>
  <c r="Y60" i="9" s="1"/>
  <c r="Z59" i="9"/>
  <c r="Z58" i="9"/>
  <c r="Y58" i="9" s="1"/>
  <c r="Z57" i="9"/>
  <c r="Y57" i="9"/>
  <c r="Z56" i="9"/>
  <c r="Z55" i="9"/>
  <c r="Z54" i="9"/>
  <c r="Z53" i="9"/>
  <c r="Y53" i="9" s="1"/>
  <c r="Z52" i="9"/>
  <c r="Z51" i="9"/>
  <c r="Y51" i="9" s="1"/>
  <c r="Z50" i="9"/>
  <c r="Y50" i="9" s="1"/>
  <c r="Z49" i="9"/>
  <c r="Y49" i="9" s="1"/>
  <c r="Z48" i="9"/>
  <c r="Y48" i="9" s="1"/>
  <c r="Z47" i="9"/>
  <c r="Z46" i="9"/>
  <c r="Z45" i="9"/>
  <c r="Z44" i="9"/>
  <c r="Z43" i="9"/>
  <c r="Z42" i="9"/>
  <c r="Y42" i="9" s="1"/>
  <c r="Z41" i="9"/>
  <c r="Y41" i="9" s="1"/>
  <c r="Z40" i="9"/>
  <c r="Z39" i="9"/>
  <c r="Y39" i="9" s="1"/>
  <c r="Z38" i="9"/>
  <c r="Z37" i="9"/>
  <c r="Z36" i="9"/>
  <c r="Z35" i="9"/>
  <c r="Z34" i="9"/>
  <c r="Z33" i="9"/>
  <c r="Y33" i="9" s="1"/>
  <c r="Z32" i="9"/>
  <c r="Y32" i="9" s="1"/>
  <c r="X32" i="9"/>
  <c r="T32" i="9" s="1"/>
  <c r="P32" i="9" s="1"/>
  <c r="L32" i="9" s="1"/>
  <c r="Z31" i="9"/>
  <c r="Z30" i="9"/>
  <c r="Y30" i="9" s="1"/>
  <c r="Z29" i="9"/>
  <c r="Z28" i="9"/>
  <c r="Y28" i="9"/>
  <c r="Z27" i="9"/>
  <c r="Z26" i="9"/>
  <c r="Z25" i="9"/>
  <c r="Z24" i="9"/>
  <c r="X24" i="9"/>
  <c r="T24" i="9" s="1"/>
  <c r="P24" i="9" s="1"/>
  <c r="L24" i="9" s="1"/>
  <c r="Z23" i="9"/>
  <c r="Y23" i="9" s="1"/>
  <c r="Z22" i="9"/>
  <c r="Z21" i="9"/>
  <c r="Y21" i="9"/>
  <c r="Z20" i="9"/>
  <c r="Z19" i="9"/>
  <c r="Y19" i="9"/>
  <c r="Z18" i="9"/>
  <c r="Y18" i="9" s="1"/>
  <c r="Z17" i="9"/>
  <c r="Z16" i="9"/>
  <c r="Z15" i="9"/>
  <c r="Z14" i="9"/>
  <c r="Y14" i="9" s="1"/>
  <c r="Z13" i="9"/>
  <c r="Z12" i="9"/>
  <c r="Y12" i="9"/>
  <c r="Z11" i="9"/>
  <c r="Y11" i="9"/>
  <c r="Z10" i="9"/>
  <c r="Y10" i="9"/>
  <c r="Z9" i="9"/>
  <c r="Y9" i="9"/>
  <c r="Z8" i="9"/>
  <c r="Z7" i="9"/>
  <c r="Z6" i="9"/>
  <c r="Z5" i="9"/>
  <c r="Z4" i="9"/>
  <c r="V146" i="9"/>
  <c r="U146" i="9" s="1"/>
  <c r="V145" i="9"/>
  <c r="U145" i="9" s="1"/>
  <c r="V144" i="9"/>
  <c r="U144" i="9" s="1"/>
  <c r="V143" i="9"/>
  <c r="V142" i="9"/>
  <c r="U142" i="9" s="1"/>
  <c r="V141" i="9"/>
  <c r="V140" i="9"/>
  <c r="U140" i="9" s="1"/>
  <c r="V139" i="9"/>
  <c r="V138" i="9"/>
  <c r="U138" i="9" s="1"/>
  <c r="V137" i="9"/>
  <c r="U137" i="9" s="1"/>
  <c r="V136" i="9"/>
  <c r="U136" i="9" s="1"/>
  <c r="V135" i="9"/>
  <c r="U135" i="9" s="1"/>
  <c r="V134" i="9"/>
  <c r="U134" i="9" s="1"/>
  <c r="V133" i="9"/>
  <c r="V132" i="9"/>
  <c r="U132" i="9" s="1"/>
  <c r="V131" i="9"/>
  <c r="U131" i="9" s="1"/>
  <c r="V130" i="9"/>
  <c r="V129" i="9"/>
  <c r="V128" i="9"/>
  <c r="V127" i="9"/>
  <c r="V126" i="9"/>
  <c r="U126" i="9" s="1"/>
  <c r="V125" i="9"/>
  <c r="V124" i="9"/>
  <c r="U124" i="9" s="1"/>
  <c r="V123" i="9"/>
  <c r="U123" i="9" s="1"/>
  <c r="V122" i="9"/>
  <c r="U122" i="9" s="1"/>
  <c r="V121" i="9"/>
  <c r="U121" i="9" s="1"/>
  <c r="V120" i="9"/>
  <c r="V119" i="9"/>
  <c r="V118" i="9"/>
  <c r="U118" i="9" s="1"/>
  <c r="V117" i="9"/>
  <c r="V116" i="9"/>
  <c r="U116" i="9" s="1"/>
  <c r="V115" i="9"/>
  <c r="V114" i="9"/>
  <c r="U114" i="9" s="1"/>
  <c r="V113" i="9"/>
  <c r="U113" i="9" s="1"/>
  <c r="V112" i="9"/>
  <c r="U112" i="9" s="1"/>
  <c r="V111" i="9"/>
  <c r="U111" i="9" s="1"/>
  <c r="V110" i="9"/>
  <c r="U110" i="9" s="1"/>
  <c r="V109" i="9"/>
  <c r="V108" i="9"/>
  <c r="V107" i="9"/>
  <c r="U107" i="9" s="1"/>
  <c r="V106" i="9"/>
  <c r="V105" i="9"/>
  <c r="U105" i="9" s="1"/>
  <c r="V104" i="9"/>
  <c r="V103" i="9"/>
  <c r="U103" i="9" s="1"/>
  <c r="V102" i="9"/>
  <c r="U102" i="9" s="1"/>
  <c r="V101" i="9"/>
  <c r="V100" i="9"/>
  <c r="U100" i="9" s="1"/>
  <c r="V99" i="9"/>
  <c r="V98" i="9"/>
  <c r="V97" i="9"/>
  <c r="V96" i="9"/>
  <c r="V95" i="9"/>
  <c r="V94" i="9"/>
  <c r="U94" i="9" s="1"/>
  <c r="V93" i="9"/>
  <c r="V92" i="9"/>
  <c r="V91" i="9"/>
  <c r="U91" i="9" s="1"/>
  <c r="V90" i="9"/>
  <c r="U90" i="9" s="1"/>
  <c r="V89" i="9"/>
  <c r="U89" i="9" s="1"/>
  <c r="V88" i="9"/>
  <c r="V87" i="9"/>
  <c r="V86" i="9"/>
  <c r="V85" i="9"/>
  <c r="V84" i="9"/>
  <c r="U84" i="9" s="1"/>
  <c r="V83" i="9"/>
  <c r="V82" i="9"/>
  <c r="U82" i="9" s="1"/>
  <c r="V81" i="9"/>
  <c r="U81" i="9" s="1"/>
  <c r="V80" i="9"/>
  <c r="U80" i="9" s="1"/>
  <c r="V79" i="9"/>
  <c r="V78" i="9"/>
  <c r="U78" i="9" s="1"/>
  <c r="V77" i="9"/>
  <c r="V76" i="9"/>
  <c r="V75" i="9"/>
  <c r="V74" i="9"/>
  <c r="U74" i="9" s="1"/>
  <c r="V73" i="9"/>
  <c r="U73" i="9" s="1"/>
  <c r="V72" i="9"/>
  <c r="V71" i="9"/>
  <c r="U71" i="9" s="1"/>
  <c r="V70" i="9"/>
  <c r="U70" i="9" s="1"/>
  <c r="V69" i="9"/>
  <c r="V68" i="9"/>
  <c r="U68" i="9" s="1"/>
  <c r="V67" i="9"/>
  <c r="V66" i="9"/>
  <c r="V65" i="9"/>
  <c r="U65" i="9" s="1"/>
  <c r="V64" i="9"/>
  <c r="V63" i="9"/>
  <c r="V62" i="9"/>
  <c r="V61" i="9"/>
  <c r="V60" i="9"/>
  <c r="V59" i="9"/>
  <c r="U59" i="9" s="1"/>
  <c r="V58" i="9"/>
  <c r="U58" i="9" s="1"/>
  <c r="V57" i="9"/>
  <c r="U57" i="9" s="1"/>
  <c r="V56" i="9"/>
  <c r="V55" i="9"/>
  <c r="U55" i="9" s="1"/>
  <c r="V54" i="9"/>
  <c r="U54" i="9" s="1"/>
  <c r="V53" i="9"/>
  <c r="V52" i="9"/>
  <c r="V51" i="9"/>
  <c r="V50" i="9"/>
  <c r="V49" i="9"/>
  <c r="U49" i="9" s="1"/>
  <c r="V48" i="9"/>
  <c r="U48" i="9" s="1"/>
  <c r="V47" i="9"/>
  <c r="U47" i="9" s="1"/>
  <c r="V46" i="9"/>
  <c r="U46" i="9" s="1"/>
  <c r="V45" i="9"/>
  <c r="V44" i="9"/>
  <c r="V43" i="9"/>
  <c r="U43" i="9" s="1"/>
  <c r="V42" i="9"/>
  <c r="U42" i="9" s="1"/>
  <c r="V41" i="9"/>
  <c r="U41" i="9" s="1"/>
  <c r="V40" i="9"/>
  <c r="V39" i="9"/>
  <c r="V38" i="9"/>
  <c r="V37" i="9"/>
  <c r="V36" i="9"/>
  <c r="U36" i="9" s="1"/>
  <c r="V35" i="9"/>
  <c r="V34" i="9"/>
  <c r="V33" i="9"/>
  <c r="U33" i="9" s="1"/>
  <c r="V32" i="9"/>
  <c r="U32" i="9" s="1"/>
  <c r="V31" i="9"/>
  <c r="U31" i="9" s="1"/>
  <c r="V30" i="9"/>
  <c r="V29" i="9"/>
  <c r="V28" i="9"/>
  <c r="V27" i="9"/>
  <c r="U27" i="9" s="1"/>
  <c r="V26" i="9"/>
  <c r="U26" i="9" s="1"/>
  <c r="V25" i="9"/>
  <c r="U25" i="9" s="1"/>
  <c r="V24" i="9"/>
  <c r="V23" i="9"/>
  <c r="U23" i="9" s="1"/>
  <c r="V22" i="9"/>
  <c r="V21" i="9"/>
  <c r="U21" i="9" s="1"/>
  <c r="V20" i="9"/>
  <c r="V19" i="9"/>
  <c r="V18" i="9"/>
  <c r="V17" i="9"/>
  <c r="U17" i="9" s="1"/>
  <c r="V16" i="9"/>
  <c r="U16" i="9" s="1"/>
  <c r="V15" i="9"/>
  <c r="U15" i="9" s="1"/>
  <c r="V14" i="9"/>
  <c r="U14" i="9" s="1"/>
  <c r="V13" i="9"/>
  <c r="V12" i="9"/>
  <c r="V11" i="9"/>
  <c r="U11" i="9" s="1"/>
  <c r="V10" i="9"/>
  <c r="U10" i="9" s="1"/>
  <c r="V9" i="9"/>
  <c r="U9" i="9" s="1"/>
  <c r="V8" i="9"/>
  <c r="V7" i="9"/>
  <c r="U7" i="9" s="1"/>
  <c r="V6" i="9"/>
  <c r="V5" i="9"/>
  <c r="U5" i="9" s="1"/>
  <c r="V4" i="9"/>
  <c r="U4" i="9" s="1"/>
  <c r="R146" i="9"/>
  <c r="Q146" i="9" s="1"/>
  <c r="R145" i="9"/>
  <c r="R144" i="9"/>
  <c r="Q144" i="9" s="1"/>
  <c r="R143" i="9"/>
  <c r="R142" i="9"/>
  <c r="R141" i="9"/>
  <c r="R140" i="9"/>
  <c r="R139" i="9"/>
  <c r="R138" i="9"/>
  <c r="R137" i="9"/>
  <c r="R136" i="9"/>
  <c r="Q136" i="9" s="1"/>
  <c r="R135" i="9"/>
  <c r="R134" i="9"/>
  <c r="Q134" i="9" s="1"/>
  <c r="R133" i="9"/>
  <c r="R132" i="9"/>
  <c r="R131" i="9"/>
  <c r="R130" i="9"/>
  <c r="Q130" i="9" s="1"/>
  <c r="R129" i="9"/>
  <c r="R128" i="9"/>
  <c r="Q128" i="9" s="1"/>
  <c r="R127" i="9"/>
  <c r="R126" i="9"/>
  <c r="R125" i="9"/>
  <c r="R124" i="9"/>
  <c r="R123" i="9"/>
  <c r="R122" i="9"/>
  <c r="R121" i="9"/>
  <c r="R120" i="9"/>
  <c r="Q120" i="9" s="1"/>
  <c r="R119" i="9"/>
  <c r="R118" i="9"/>
  <c r="Q118" i="9" s="1"/>
  <c r="R117" i="9"/>
  <c r="R116" i="9"/>
  <c r="R115" i="9"/>
  <c r="R114" i="9"/>
  <c r="Q114" i="9" s="1"/>
  <c r="R113" i="9"/>
  <c r="R112" i="9"/>
  <c r="Q112" i="9" s="1"/>
  <c r="R111" i="9"/>
  <c r="R110" i="9"/>
  <c r="R109" i="9"/>
  <c r="R108" i="9"/>
  <c r="R107" i="9"/>
  <c r="R106" i="9"/>
  <c r="R105" i="9"/>
  <c r="R104" i="9"/>
  <c r="Q104" i="9" s="1"/>
  <c r="R103" i="9"/>
  <c r="R102" i="9"/>
  <c r="Q102" i="9" s="1"/>
  <c r="R101" i="9"/>
  <c r="R100" i="9"/>
  <c r="R99" i="9"/>
  <c r="R98" i="9"/>
  <c r="Q98" i="9" s="1"/>
  <c r="R97" i="9"/>
  <c r="R96" i="9"/>
  <c r="Q96" i="9" s="1"/>
  <c r="R95" i="9"/>
  <c r="R94" i="9"/>
  <c r="R93" i="9"/>
  <c r="R92" i="9"/>
  <c r="R91" i="9"/>
  <c r="R90" i="9"/>
  <c r="R89" i="9"/>
  <c r="R88" i="9"/>
  <c r="Q88" i="9" s="1"/>
  <c r="R87" i="9"/>
  <c r="R86" i="9"/>
  <c r="Q86" i="9" s="1"/>
  <c r="R85" i="9"/>
  <c r="R84" i="9"/>
  <c r="R83" i="9"/>
  <c r="R82" i="9"/>
  <c r="Q82" i="9" s="1"/>
  <c r="R81" i="9"/>
  <c r="R80" i="9"/>
  <c r="Q80" i="9" s="1"/>
  <c r="R79" i="9"/>
  <c r="R78" i="9"/>
  <c r="R77" i="9"/>
  <c r="R76" i="9"/>
  <c r="R75" i="9"/>
  <c r="R74" i="9"/>
  <c r="R73" i="9"/>
  <c r="R72" i="9"/>
  <c r="Q72" i="9" s="1"/>
  <c r="R71" i="9"/>
  <c r="R70" i="9"/>
  <c r="Q70" i="9" s="1"/>
  <c r="R69" i="9"/>
  <c r="R68" i="9"/>
  <c r="R67" i="9"/>
  <c r="R66" i="9"/>
  <c r="Q66" i="9" s="1"/>
  <c r="R65" i="9"/>
  <c r="R64" i="9"/>
  <c r="Q64" i="9" s="1"/>
  <c r="R63" i="9"/>
  <c r="R62" i="9"/>
  <c r="R61" i="9"/>
  <c r="R60" i="9"/>
  <c r="R59" i="9"/>
  <c r="R58" i="9"/>
  <c r="R57" i="9"/>
  <c r="R56" i="9"/>
  <c r="Q56" i="9" s="1"/>
  <c r="R55" i="9"/>
  <c r="R54" i="9"/>
  <c r="Q54" i="9" s="1"/>
  <c r="R53" i="9"/>
  <c r="R52" i="9"/>
  <c r="R51" i="9"/>
  <c r="R50" i="9"/>
  <c r="R49" i="9"/>
  <c r="R48" i="9"/>
  <c r="Q48" i="9" s="1"/>
  <c r="R47" i="9"/>
  <c r="R46" i="9"/>
  <c r="R45" i="9"/>
  <c r="R44" i="9"/>
  <c r="R43" i="9"/>
  <c r="R42" i="9"/>
  <c r="R41" i="9"/>
  <c r="R40" i="9"/>
  <c r="Q40" i="9" s="1"/>
  <c r="R39" i="9"/>
  <c r="R38" i="9"/>
  <c r="Q38" i="9" s="1"/>
  <c r="R37" i="9"/>
  <c r="R36" i="9"/>
  <c r="R35" i="9"/>
  <c r="R34" i="9"/>
  <c r="R33" i="9"/>
  <c r="R32" i="9"/>
  <c r="Q32" i="9" s="1"/>
  <c r="R31" i="9"/>
  <c r="R30" i="9"/>
  <c r="R29" i="9"/>
  <c r="R28" i="9"/>
  <c r="R27" i="9"/>
  <c r="R26" i="9"/>
  <c r="R25" i="9"/>
  <c r="R24" i="9"/>
  <c r="Q24" i="9" s="1"/>
  <c r="R23" i="9"/>
  <c r="R22" i="9"/>
  <c r="Q22" i="9" s="1"/>
  <c r="R21" i="9"/>
  <c r="R20" i="9"/>
  <c r="R19" i="9"/>
  <c r="R18" i="9"/>
  <c r="R17" i="9"/>
  <c r="R16" i="9"/>
  <c r="Q16" i="9" s="1"/>
  <c r="R15" i="9"/>
  <c r="R14" i="9"/>
  <c r="R13" i="9"/>
  <c r="R12" i="9"/>
  <c r="R11" i="9"/>
  <c r="R10" i="9"/>
  <c r="R9" i="9"/>
  <c r="R8" i="9"/>
  <c r="Q8" i="9" s="1"/>
  <c r="R7" i="9"/>
  <c r="R6" i="9"/>
  <c r="Q6" i="9" s="1"/>
  <c r="R5" i="9"/>
  <c r="R4" i="9"/>
  <c r="N146" i="9"/>
  <c r="N145" i="9"/>
  <c r="M145" i="9" s="1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M129" i="9" s="1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I114" i="9" s="1"/>
  <c r="N113" i="9"/>
  <c r="M113" i="9" s="1"/>
  <c r="N112" i="9"/>
  <c r="N111" i="9"/>
  <c r="M111" i="9" s="1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M97" i="9" s="1"/>
  <c r="N96" i="9"/>
  <c r="I96" i="9" s="1"/>
  <c r="N95" i="9"/>
  <c r="M95" i="9" s="1"/>
  <c r="N94" i="9"/>
  <c r="N93" i="9"/>
  <c r="N92" i="9"/>
  <c r="N91" i="9"/>
  <c r="N90" i="9"/>
  <c r="N89" i="9"/>
  <c r="N88" i="9"/>
  <c r="I88" i="9" s="1"/>
  <c r="N87" i="9"/>
  <c r="M87" i="9" s="1"/>
  <c r="N86" i="9"/>
  <c r="N85" i="9"/>
  <c r="N84" i="9"/>
  <c r="N83" i="9"/>
  <c r="N82" i="9"/>
  <c r="N81" i="9"/>
  <c r="M81" i="9" s="1"/>
  <c r="N80" i="9"/>
  <c r="N79" i="9"/>
  <c r="M79" i="9" s="1"/>
  <c r="N78" i="9"/>
  <c r="N77" i="9"/>
  <c r="N76" i="9"/>
  <c r="N75" i="9"/>
  <c r="N74" i="9"/>
  <c r="N73" i="9"/>
  <c r="N72" i="9"/>
  <c r="N71" i="9"/>
  <c r="M71" i="9" s="1"/>
  <c r="N70" i="9"/>
  <c r="N69" i="9"/>
  <c r="M69" i="9" s="1"/>
  <c r="N68" i="9"/>
  <c r="N67" i="9"/>
  <c r="N66" i="9"/>
  <c r="N65" i="9"/>
  <c r="N64" i="9"/>
  <c r="N63" i="9"/>
  <c r="M63" i="9" s="1"/>
  <c r="N62" i="9"/>
  <c r="N61" i="9"/>
  <c r="N60" i="9"/>
  <c r="N59" i="9"/>
  <c r="N58" i="9"/>
  <c r="N57" i="9"/>
  <c r="N56" i="9"/>
  <c r="N55" i="9"/>
  <c r="M55" i="9" s="1"/>
  <c r="N54" i="9"/>
  <c r="N53" i="9"/>
  <c r="M53" i="9" s="1"/>
  <c r="N52" i="9"/>
  <c r="N51" i="9"/>
  <c r="N50" i="9"/>
  <c r="N49" i="9"/>
  <c r="N48" i="9"/>
  <c r="N47" i="9"/>
  <c r="N46" i="9"/>
  <c r="N45" i="9"/>
  <c r="N44" i="9"/>
  <c r="N43" i="9"/>
  <c r="N42" i="9"/>
  <c r="I42" i="9" s="1"/>
  <c r="N41" i="9"/>
  <c r="I41" i="9" s="1"/>
  <c r="N40" i="9"/>
  <c r="N39" i="9"/>
  <c r="M39" i="9" s="1"/>
  <c r="N38" i="9"/>
  <c r="N37" i="9"/>
  <c r="N36" i="9"/>
  <c r="N35" i="9"/>
  <c r="N34" i="9"/>
  <c r="I34" i="9" s="1"/>
  <c r="N33" i="9"/>
  <c r="N32" i="9"/>
  <c r="N31" i="9"/>
  <c r="M31" i="9" s="1"/>
  <c r="N30" i="9"/>
  <c r="N29" i="9"/>
  <c r="N28" i="9"/>
  <c r="N27" i="9"/>
  <c r="N26" i="9"/>
  <c r="N25" i="9"/>
  <c r="N24" i="9"/>
  <c r="N23" i="9"/>
  <c r="N22" i="9"/>
  <c r="N21" i="9"/>
  <c r="M21" i="9" s="1"/>
  <c r="N20" i="9"/>
  <c r="N19" i="9"/>
  <c r="N18" i="9"/>
  <c r="N17" i="9"/>
  <c r="N16" i="9"/>
  <c r="N15" i="9"/>
  <c r="M15" i="9" s="1"/>
  <c r="N14" i="9"/>
  <c r="N13" i="9"/>
  <c r="N12" i="9"/>
  <c r="N11" i="9"/>
  <c r="N10" i="9"/>
  <c r="N9" i="9"/>
  <c r="N8" i="9"/>
  <c r="N7" i="9"/>
  <c r="M7" i="9" s="1"/>
  <c r="N6" i="9"/>
  <c r="N5" i="9"/>
  <c r="M5" i="9" s="1"/>
  <c r="N4" i="9"/>
  <c r="M4" i="9" s="1"/>
  <c r="J4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I113" i="9" s="1"/>
  <c r="J112" i="9"/>
  <c r="I112" i="9" s="1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I95" i="9" s="1"/>
  <c r="J94" i="9"/>
  <c r="J93" i="9"/>
  <c r="J92" i="9"/>
  <c r="I92" i="9" s="1"/>
  <c r="J91" i="9"/>
  <c r="J90" i="9"/>
  <c r="I90" i="9" s="1"/>
  <c r="J89" i="9"/>
  <c r="I89" i="9" s="1"/>
  <c r="J88" i="9"/>
  <c r="J87" i="9"/>
  <c r="I87" i="9" s="1"/>
  <c r="J86" i="9"/>
  <c r="J85" i="9"/>
  <c r="J84" i="9"/>
  <c r="J83" i="9"/>
  <c r="J82" i="9"/>
  <c r="J81" i="9"/>
  <c r="J80" i="9"/>
  <c r="I80" i="9" s="1"/>
  <c r="J79" i="9"/>
  <c r="J78" i="9"/>
  <c r="J77" i="9"/>
  <c r="J76" i="9"/>
  <c r="J75" i="9"/>
  <c r="J74" i="9"/>
  <c r="J73" i="9"/>
  <c r="J72" i="9"/>
  <c r="J71" i="9"/>
  <c r="J70" i="9"/>
  <c r="J69" i="9"/>
  <c r="I69" i="9" s="1"/>
  <c r="J68" i="9"/>
  <c r="J67" i="9"/>
  <c r="J66" i="9"/>
  <c r="J65" i="9"/>
  <c r="J64" i="9"/>
  <c r="J63" i="9"/>
  <c r="I63" i="9" s="1"/>
  <c r="J62" i="9"/>
  <c r="J61" i="9"/>
  <c r="J60" i="9"/>
  <c r="J59" i="9"/>
  <c r="J58" i="9"/>
  <c r="J57" i="9"/>
  <c r="J56" i="9"/>
  <c r="J55" i="9"/>
  <c r="J54" i="9"/>
  <c r="J53" i="9"/>
  <c r="I53" i="9" s="1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I33" i="9" s="1"/>
  <c r="J32" i="9"/>
  <c r="J31" i="9"/>
  <c r="I31" i="9" s="1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I17" i="9" s="1"/>
  <c r="J16" i="9"/>
  <c r="J15" i="9"/>
  <c r="J14" i="9"/>
  <c r="J13" i="9"/>
  <c r="J12" i="9"/>
  <c r="J11" i="9"/>
  <c r="J10" i="9"/>
  <c r="J9" i="9"/>
  <c r="J8" i="9"/>
  <c r="J7" i="9"/>
  <c r="J6" i="9"/>
  <c r="J5" i="9"/>
  <c r="I115" i="9"/>
  <c r="I111" i="9"/>
  <c r="I98" i="9"/>
  <c r="I97" i="9"/>
  <c r="I93" i="9"/>
  <c r="I82" i="9"/>
  <c r="I81" i="9"/>
  <c r="I21" i="9"/>
  <c r="I15" i="9"/>
  <c r="I5" i="9"/>
  <c r="I39" i="9" l="1"/>
  <c r="I48" i="9"/>
  <c r="I128" i="9"/>
  <c r="I144" i="9"/>
  <c r="U98" i="9"/>
  <c r="U130" i="9"/>
  <c r="Y91" i="9"/>
  <c r="Y134" i="9"/>
  <c r="Y40" i="9"/>
  <c r="AG7" i="9"/>
  <c r="AG47" i="9"/>
  <c r="I135" i="9"/>
  <c r="I49" i="9"/>
  <c r="AC146" i="9"/>
  <c r="AC25" i="9"/>
  <c r="AC40" i="9"/>
  <c r="I119" i="9"/>
  <c r="U20" i="9"/>
  <c r="U52" i="9"/>
  <c r="Y5" i="9"/>
  <c r="Y46" i="9"/>
  <c r="Y92" i="9"/>
  <c r="I120" i="9"/>
  <c r="I79" i="9"/>
  <c r="I19" i="9"/>
  <c r="I35" i="9"/>
  <c r="I51" i="9"/>
  <c r="I67" i="9"/>
  <c r="I83" i="9"/>
  <c r="I99" i="9"/>
  <c r="M115" i="9"/>
  <c r="I131" i="9"/>
  <c r="Q20" i="9"/>
  <c r="Q36" i="9"/>
  <c r="Q52" i="9"/>
  <c r="Q68" i="9"/>
  <c r="Q84" i="9"/>
  <c r="Q100" i="9"/>
  <c r="Q116" i="9"/>
  <c r="Q132" i="9"/>
  <c r="U37" i="9"/>
  <c r="U53" i="9"/>
  <c r="U69" i="9"/>
  <c r="U85" i="9"/>
  <c r="U101" i="9"/>
  <c r="U117" i="9"/>
  <c r="U133" i="9"/>
  <c r="Y37" i="9"/>
  <c r="Y47" i="9"/>
  <c r="Y82" i="9"/>
  <c r="Y146" i="9"/>
  <c r="Y52" i="9"/>
  <c r="AC98" i="9"/>
  <c r="AC132" i="9"/>
  <c r="AC27" i="9"/>
  <c r="AC95" i="9"/>
  <c r="I23" i="9"/>
  <c r="I132" i="9"/>
  <c r="U86" i="9"/>
  <c r="Y6" i="9"/>
  <c r="Y16" i="9"/>
  <c r="Y83" i="9"/>
  <c r="Y126" i="9"/>
  <c r="AC43" i="9"/>
  <c r="Y72" i="9"/>
  <c r="AC41" i="9"/>
  <c r="AG89" i="9"/>
  <c r="I37" i="9"/>
  <c r="I85" i="9"/>
  <c r="I101" i="9"/>
  <c r="I117" i="9"/>
  <c r="I133" i="9"/>
  <c r="U39" i="9"/>
  <c r="U87" i="9"/>
  <c r="U119" i="9"/>
  <c r="Y7" i="9"/>
  <c r="AC13" i="9"/>
  <c r="Y24" i="9"/>
  <c r="AC83" i="9"/>
  <c r="AG51" i="9"/>
  <c r="I102" i="9"/>
  <c r="I118" i="9"/>
  <c r="I134" i="9"/>
  <c r="AC118" i="9"/>
  <c r="AC125" i="9"/>
  <c r="AG18" i="9"/>
  <c r="AG26" i="9"/>
  <c r="AG42" i="9"/>
  <c r="M89" i="9"/>
  <c r="M105" i="9"/>
  <c r="M121" i="9"/>
  <c r="M137" i="9"/>
  <c r="Q58" i="9"/>
  <c r="Q74" i="9"/>
  <c r="Q90" i="9"/>
  <c r="Q106" i="9"/>
  <c r="Q122" i="9"/>
  <c r="Q138" i="9"/>
  <c r="U75" i="9"/>
  <c r="U139" i="9"/>
  <c r="AC111" i="9"/>
  <c r="I103" i="9"/>
  <c r="I136" i="9"/>
  <c r="I11" i="9"/>
  <c r="I27" i="9"/>
  <c r="I43" i="9"/>
  <c r="M59" i="9"/>
  <c r="I75" i="9"/>
  <c r="I91" i="9"/>
  <c r="I107" i="9"/>
  <c r="I123" i="9"/>
  <c r="I139" i="9"/>
  <c r="Q12" i="9"/>
  <c r="Q28" i="9"/>
  <c r="Q44" i="9"/>
  <c r="Q60" i="9"/>
  <c r="Q76" i="9"/>
  <c r="Q92" i="9"/>
  <c r="Q108" i="9"/>
  <c r="Q124" i="9"/>
  <c r="Q140" i="9"/>
  <c r="Y54" i="9"/>
  <c r="Y65" i="9"/>
  <c r="Y100" i="9"/>
  <c r="Y140" i="9"/>
  <c r="AC104" i="9"/>
  <c r="AC112" i="9"/>
  <c r="AC120" i="9"/>
  <c r="AC128" i="9"/>
  <c r="AC136" i="9"/>
  <c r="AC8" i="9"/>
  <c r="I12" i="9"/>
  <c r="I44" i="9"/>
  <c r="I108" i="9"/>
  <c r="I124" i="9"/>
  <c r="I140" i="9"/>
  <c r="U30" i="9"/>
  <c r="U62" i="9"/>
  <c r="Y110" i="9"/>
  <c r="Y8" i="9"/>
  <c r="AC15" i="9"/>
  <c r="I28" i="9"/>
  <c r="I76" i="9"/>
  <c r="I13" i="9"/>
  <c r="I29" i="9"/>
  <c r="I45" i="9"/>
  <c r="M61" i="9"/>
  <c r="M77" i="9"/>
  <c r="M93" i="9"/>
  <c r="I109" i="9"/>
  <c r="I125" i="9"/>
  <c r="I141" i="9"/>
  <c r="Q14" i="9"/>
  <c r="Q30" i="9"/>
  <c r="Q46" i="9"/>
  <c r="Q62" i="9"/>
  <c r="Q78" i="9"/>
  <c r="Q94" i="9"/>
  <c r="Q110" i="9"/>
  <c r="Q126" i="9"/>
  <c r="Q142" i="9"/>
  <c r="U63" i="9"/>
  <c r="U79" i="9"/>
  <c r="U95" i="9"/>
  <c r="U127" i="9"/>
  <c r="U143" i="9"/>
  <c r="Y67" i="9"/>
  <c r="Y101" i="9"/>
  <c r="AC113" i="9"/>
  <c r="AC129" i="9"/>
  <c r="AC143" i="9"/>
  <c r="AC73" i="9"/>
  <c r="I40" i="9"/>
  <c r="I126" i="9"/>
  <c r="I142" i="9"/>
  <c r="U64" i="9"/>
  <c r="U96" i="9"/>
  <c r="U128" i="9"/>
  <c r="Y56" i="9"/>
  <c r="Y20" i="9"/>
  <c r="AC77" i="9"/>
  <c r="U106" i="9"/>
  <c r="I47" i="9"/>
  <c r="I127" i="9"/>
  <c r="I143" i="9"/>
  <c r="U97" i="9"/>
  <c r="U129" i="9"/>
  <c r="Y34" i="9"/>
  <c r="AG17" i="9"/>
  <c r="AG23" i="9"/>
  <c r="AG55" i="9"/>
  <c r="AG4" i="9"/>
  <c r="AC17" i="9"/>
  <c r="AC24" i="9"/>
  <c r="AC36" i="9"/>
  <c r="AC55" i="9"/>
  <c r="AC6" i="9"/>
  <c r="AC18" i="9"/>
  <c r="AC30" i="9"/>
  <c r="AC49" i="9"/>
  <c r="AC80" i="9"/>
  <c r="AC87" i="9"/>
  <c r="AG8" i="9"/>
  <c r="AG40" i="9"/>
  <c r="AG72" i="9"/>
  <c r="AC105" i="9"/>
  <c r="AC62" i="9"/>
  <c r="AC81" i="9"/>
  <c r="AG95" i="9"/>
  <c r="AC121" i="9"/>
  <c r="AC94" i="9"/>
  <c r="AC126" i="9"/>
  <c r="AC14" i="9"/>
  <c r="AC39" i="9"/>
  <c r="AC64" i="9"/>
  <c r="AC33" i="9"/>
  <c r="AC71" i="9"/>
  <c r="AC96" i="9"/>
  <c r="AC103" i="9"/>
  <c r="AC46" i="9"/>
  <c r="AC65" i="9"/>
  <c r="AC22" i="9"/>
  <c r="AC34" i="9"/>
  <c r="AC97" i="9"/>
  <c r="AC78" i="9"/>
  <c r="AC110" i="9"/>
  <c r="AC142" i="9"/>
  <c r="AC4" i="9"/>
  <c r="Y68" i="9"/>
  <c r="Y17" i="9"/>
  <c r="Y36" i="9"/>
  <c r="Y93" i="9"/>
  <c r="Y29" i="9"/>
  <c r="Y61" i="9"/>
  <c r="Y125" i="9"/>
  <c r="AC20" i="9"/>
  <c r="AC52" i="9"/>
  <c r="AC84" i="9"/>
  <c r="Y31" i="9"/>
  <c r="Y63" i="9"/>
  <c r="Y70" i="9"/>
  <c r="Y95" i="9"/>
  <c r="Y102" i="9"/>
  <c r="Y38" i="9"/>
  <c r="Y13" i="9"/>
  <c r="Y141" i="9"/>
  <c r="Y77" i="9"/>
  <c r="Y109" i="9"/>
  <c r="Y45" i="9"/>
  <c r="Y15" i="9"/>
  <c r="Y111" i="9"/>
  <c r="Y22" i="9"/>
  <c r="Y79" i="9"/>
  <c r="Y86" i="9"/>
  <c r="Y4" i="9"/>
  <c r="U18" i="9"/>
  <c r="U34" i="9"/>
  <c r="U50" i="9"/>
  <c r="U66" i="9"/>
  <c r="U19" i="9"/>
  <c r="U35" i="9"/>
  <c r="U51" i="9"/>
  <c r="U67" i="9"/>
  <c r="U83" i="9"/>
  <c r="U99" i="9"/>
  <c r="U115" i="9"/>
  <c r="U6" i="9"/>
  <c r="U22" i="9"/>
  <c r="U38" i="9"/>
  <c r="U8" i="9"/>
  <c r="U24" i="9"/>
  <c r="U40" i="9"/>
  <c r="U56" i="9"/>
  <c r="U72" i="9"/>
  <c r="U88" i="9"/>
  <c r="U104" i="9"/>
  <c r="U120" i="9"/>
  <c r="U12" i="9"/>
  <c r="U28" i="9"/>
  <c r="U44" i="9"/>
  <c r="U60" i="9"/>
  <c r="U76" i="9"/>
  <c r="U92" i="9"/>
  <c r="U108" i="9"/>
  <c r="U13" i="9"/>
  <c r="U29" i="9"/>
  <c r="U45" i="9"/>
  <c r="U61" i="9"/>
  <c r="U77" i="9"/>
  <c r="U93" i="9"/>
  <c r="U109" i="9"/>
  <c r="U125" i="9"/>
  <c r="U141" i="9"/>
  <c r="Q13" i="9"/>
  <c r="Q29" i="9"/>
  <c r="Q45" i="9"/>
  <c r="Q61" i="9"/>
  <c r="Q77" i="9"/>
  <c r="Q93" i="9"/>
  <c r="Q109" i="9"/>
  <c r="Q125" i="9"/>
  <c r="Q141" i="9"/>
  <c r="Q15" i="9"/>
  <c r="Q31" i="9"/>
  <c r="Q47" i="9"/>
  <c r="Q63" i="9"/>
  <c r="Q79" i="9"/>
  <c r="Q95" i="9"/>
  <c r="Q111" i="9"/>
  <c r="Q127" i="9"/>
  <c r="Q143" i="9"/>
  <c r="Q17" i="9"/>
  <c r="Q33" i="9"/>
  <c r="Q49" i="9"/>
  <c r="Q65" i="9"/>
  <c r="Q81" i="9"/>
  <c r="Q97" i="9"/>
  <c r="Q113" i="9"/>
  <c r="Q129" i="9"/>
  <c r="Q145" i="9"/>
  <c r="Q18" i="9"/>
  <c r="Q50" i="9"/>
  <c r="Q19" i="9"/>
  <c r="Q35" i="9"/>
  <c r="Q51" i="9"/>
  <c r="Q67" i="9"/>
  <c r="Q83" i="9"/>
  <c r="Q99" i="9"/>
  <c r="Q115" i="9"/>
  <c r="Q131" i="9"/>
  <c r="Q34" i="9"/>
  <c r="Q5" i="9"/>
  <c r="Q21" i="9"/>
  <c r="Q37" i="9"/>
  <c r="Q53" i="9"/>
  <c r="Q69" i="9"/>
  <c r="Q85" i="9"/>
  <c r="Q101" i="9"/>
  <c r="Q117" i="9"/>
  <c r="Q133" i="9"/>
  <c r="Q7" i="9"/>
  <c r="Q23" i="9"/>
  <c r="Q39" i="9"/>
  <c r="Q55" i="9"/>
  <c r="Q71" i="9"/>
  <c r="Q87" i="9"/>
  <c r="Q103" i="9"/>
  <c r="Q119" i="9"/>
  <c r="Q135" i="9"/>
  <c r="Q9" i="9"/>
  <c r="Q25" i="9"/>
  <c r="Q41" i="9"/>
  <c r="Q57" i="9"/>
  <c r="Q73" i="9"/>
  <c r="Q89" i="9"/>
  <c r="Q105" i="9"/>
  <c r="Q121" i="9"/>
  <c r="Q137" i="9"/>
  <c r="Q10" i="9"/>
  <c r="Q26" i="9"/>
  <c r="Q42" i="9"/>
  <c r="Q11" i="9"/>
  <c r="Q27" i="9"/>
  <c r="Q43" i="9"/>
  <c r="Q59" i="9"/>
  <c r="Q75" i="9"/>
  <c r="Q91" i="9"/>
  <c r="Q107" i="9"/>
  <c r="Q123" i="9"/>
  <c r="Q139" i="9"/>
  <c r="Q4" i="9"/>
  <c r="M16" i="9"/>
  <c r="M32" i="9"/>
  <c r="M64" i="9"/>
  <c r="M80" i="9"/>
  <c r="M96" i="9"/>
  <c r="M112" i="9"/>
  <c r="M18" i="9"/>
  <c r="M34" i="9"/>
  <c r="M50" i="9"/>
  <c r="M66" i="9"/>
  <c r="M82" i="9"/>
  <c r="M98" i="9"/>
  <c r="M114" i="9"/>
  <c r="M130" i="9"/>
  <c r="M146" i="9"/>
  <c r="M20" i="9"/>
  <c r="M36" i="9"/>
  <c r="M52" i="9"/>
  <c r="M68" i="9"/>
  <c r="M84" i="9"/>
  <c r="M100" i="9"/>
  <c r="M116" i="9"/>
  <c r="M17" i="9"/>
  <c r="M6" i="9"/>
  <c r="M22" i="9"/>
  <c r="M38" i="9"/>
  <c r="M54" i="9"/>
  <c r="M70" i="9"/>
  <c r="M86" i="9"/>
  <c r="M8" i="9"/>
  <c r="M24" i="9"/>
  <c r="M56" i="9"/>
  <c r="M72" i="9"/>
  <c r="M88" i="9"/>
  <c r="M104" i="9"/>
  <c r="M33" i="9"/>
  <c r="M65" i="9"/>
  <c r="M9" i="9"/>
  <c r="M41" i="9"/>
  <c r="M73" i="9"/>
  <c r="M25" i="9"/>
  <c r="M57" i="9"/>
  <c r="M10" i="9"/>
  <c r="M26" i="9"/>
  <c r="M42" i="9"/>
  <c r="M58" i="9"/>
  <c r="M74" i="9"/>
  <c r="M90" i="9"/>
  <c r="M106" i="9"/>
  <c r="M122" i="9"/>
  <c r="M138" i="9"/>
  <c r="M60" i="9"/>
  <c r="M92" i="9"/>
  <c r="M14" i="9"/>
  <c r="M30" i="9"/>
  <c r="M46" i="9"/>
  <c r="M62" i="9"/>
  <c r="M78" i="9"/>
  <c r="M94" i="9"/>
  <c r="M110" i="9"/>
  <c r="I32" i="9"/>
  <c r="I24" i="9"/>
  <c r="I50" i="9"/>
  <c r="I59" i="9"/>
  <c r="I77" i="9"/>
  <c r="I104" i="9"/>
  <c r="I121" i="9"/>
  <c r="I129" i="9"/>
  <c r="I137" i="9"/>
  <c r="I145" i="9"/>
  <c r="M11" i="9"/>
  <c r="M19" i="9"/>
  <c r="M27" i="9"/>
  <c r="M35" i="9"/>
  <c r="M43" i="9"/>
  <c r="M51" i="9"/>
  <c r="M67" i="9"/>
  <c r="M75" i="9"/>
  <c r="M83" i="9"/>
  <c r="M91" i="9"/>
  <c r="M99" i="9"/>
  <c r="M107" i="9"/>
  <c r="M123" i="9"/>
  <c r="M131" i="9"/>
  <c r="M139" i="9"/>
  <c r="I7" i="9"/>
  <c r="I25" i="9"/>
  <c r="I60" i="9"/>
  <c r="I105" i="9"/>
  <c r="I122" i="9"/>
  <c r="I130" i="9"/>
  <c r="I138" i="9"/>
  <c r="I146" i="9"/>
  <c r="I20" i="9"/>
  <c r="I36" i="9"/>
  <c r="I52" i="9"/>
  <c r="I68" i="9"/>
  <c r="I84" i="9"/>
  <c r="I100" i="9"/>
  <c r="I116" i="9"/>
  <c r="M12" i="9"/>
  <c r="M28" i="9"/>
  <c r="M44" i="9"/>
  <c r="M76" i="9"/>
  <c r="M108" i="9"/>
  <c r="M124" i="9"/>
  <c r="M132" i="9"/>
  <c r="M140" i="9"/>
  <c r="I8" i="9"/>
  <c r="I26" i="9"/>
  <c r="I61" i="9"/>
  <c r="I71" i="9"/>
  <c r="I106" i="9"/>
  <c r="I6" i="9"/>
  <c r="I22" i="9"/>
  <c r="I38" i="9"/>
  <c r="I54" i="9"/>
  <c r="I70" i="9"/>
  <c r="I86" i="9"/>
  <c r="M13" i="9"/>
  <c r="M29" i="9"/>
  <c r="M37" i="9"/>
  <c r="M45" i="9"/>
  <c r="M85" i="9"/>
  <c r="M101" i="9"/>
  <c r="M109" i="9"/>
  <c r="M117" i="9"/>
  <c r="M125" i="9"/>
  <c r="M133" i="9"/>
  <c r="M141" i="9"/>
  <c r="I9" i="9"/>
  <c r="I18" i="9"/>
  <c r="I72" i="9"/>
  <c r="M102" i="9"/>
  <c r="M118" i="9"/>
  <c r="M126" i="9"/>
  <c r="M134" i="9"/>
  <c r="M142" i="9"/>
  <c r="I10" i="9"/>
  <c r="I55" i="9"/>
  <c r="I64" i="9"/>
  <c r="I73" i="9"/>
  <c r="M23" i="9"/>
  <c r="M47" i="9"/>
  <c r="M103" i="9"/>
  <c r="M119" i="9"/>
  <c r="M127" i="9"/>
  <c r="M135" i="9"/>
  <c r="M143" i="9"/>
  <c r="I16" i="9"/>
  <c r="I56" i="9"/>
  <c r="I65" i="9"/>
  <c r="I74" i="9"/>
  <c r="M40" i="9"/>
  <c r="M48" i="9"/>
  <c r="M120" i="9"/>
  <c r="M128" i="9"/>
  <c r="M136" i="9"/>
  <c r="M144" i="9"/>
  <c r="I57" i="9"/>
  <c r="I66" i="9"/>
  <c r="I14" i="9"/>
  <c r="I30" i="9"/>
  <c r="I46" i="9"/>
  <c r="I62" i="9"/>
  <c r="I78" i="9"/>
  <c r="I94" i="9"/>
  <c r="I110" i="9"/>
  <c r="M49" i="9"/>
  <c r="I58" i="9"/>
  <c r="I4" i="9"/>
  <c r="AE146" i="9" l="1"/>
  <c r="AA146" i="9"/>
  <c r="W146" i="9"/>
  <c r="S146" i="9"/>
  <c r="O146" i="9"/>
  <c r="K146" i="9"/>
  <c r="G146" i="9"/>
  <c r="AE145" i="9"/>
  <c r="AA145" i="9"/>
  <c r="W145" i="9"/>
  <c r="S145" i="9"/>
  <c r="O145" i="9"/>
  <c r="K145" i="9"/>
  <c r="G145" i="9"/>
  <c r="AE144" i="9"/>
  <c r="AA144" i="9"/>
  <c r="W144" i="9"/>
  <c r="S144" i="9"/>
  <c r="O144" i="9"/>
  <c r="K144" i="9"/>
  <c r="G144" i="9"/>
  <c r="AE143" i="9"/>
  <c r="AA143" i="9"/>
  <c r="W143" i="9"/>
  <c r="S143" i="9"/>
  <c r="O143" i="9"/>
  <c r="K143" i="9"/>
  <c r="G143" i="9"/>
  <c r="AE142" i="9"/>
  <c r="AA142" i="9"/>
  <c r="W142" i="9"/>
  <c r="S142" i="9"/>
  <c r="O142" i="9"/>
  <c r="K142" i="9"/>
  <c r="G142" i="9"/>
  <c r="AE141" i="9"/>
  <c r="AA141" i="9"/>
  <c r="W141" i="9"/>
  <c r="S141" i="9"/>
  <c r="O141" i="9"/>
  <c r="K141" i="9"/>
  <c r="G141" i="9"/>
  <c r="AE140" i="9"/>
  <c r="AA140" i="9"/>
  <c r="W140" i="9"/>
  <c r="S140" i="9"/>
  <c r="O140" i="9"/>
  <c r="K140" i="9"/>
  <c r="G140" i="9"/>
  <c r="AE139" i="9"/>
  <c r="AA139" i="9"/>
  <c r="W139" i="9"/>
  <c r="S139" i="9"/>
  <c r="O139" i="9"/>
  <c r="K139" i="9"/>
  <c r="G139" i="9"/>
  <c r="AE138" i="9"/>
  <c r="AA138" i="9"/>
  <c r="W138" i="9"/>
  <c r="S138" i="9"/>
  <c r="O138" i="9"/>
  <c r="K138" i="9"/>
  <c r="G138" i="9"/>
  <c r="AE137" i="9"/>
  <c r="AA137" i="9"/>
  <c r="W137" i="9"/>
  <c r="S137" i="9"/>
  <c r="O137" i="9"/>
  <c r="K137" i="9"/>
  <c r="G137" i="9"/>
  <c r="AE136" i="9"/>
  <c r="AA136" i="9"/>
  <c r="W136" i="9"/>
  <c r="S136" i="9"/>
  <c r="O136" i="9"/>
  <c r="K136" i="9"/>
  <c r="G136" i="9"/>
  <c r="AE135" i="9"/>
  <c r="AA135" i="9"/>
  <c r="W135" i="9"/>
  <c r="S135" i="9"/>
  <c r="O135" i="9"/>
  <c r="K135" i="9"/>
  <c r="G135" i="9"/>
  <c r="AE134" i="9"/>
  <c r="AA134" i="9"/>
  <c r="W134" i="9"/>
  <c r="S134" i="9"/>
  <c r="O134" i="9"/>
  <c r="K134" i="9"/>
  <c r="G134" i="9"/>
  <c r="AE133" i="9"/>
  <c r="AA133" i="9"/>
  <c r="W133" i="9"/>
  <c r="S133" i="9"/>
  <c r="O133" i="9"/>
  <c r="K133" i="9"/>
  <c r="G133" i="9"/>
  <c r="AE132" i="9"/>
  <c r="AA132" i="9"/>
  <c r="W132" i="9"/>
  <c r="S132" i="9"/>
  <c r="O132" i="9"/>
  <c r="K132" i="9"/>
  <c r="G132" i="9"/>
  <c r="AE131" i="9"/>
  <c r="AA131" i="9"/>
  <c r="W131" i="9"/>
  <c r="S131" i="9"/>
  <c r="O131" i="9"/>
  <c r="K131" i="9"/>
  <c r="G131" i="9"/>
  <c r="AE130" i="9"/>
  <c r="AA130" i="9"/>
  <c r="W130" i="9"/>
  <c r="S130" i="9"/>
  <c r="O130" i="9"/>
  <c r="K130" i="9"/>
  <c r="G130" i="9"/>
  <c r="AE129" i="9"/>
  <c r="AA129" i="9"/>
  <c r="W129" i="9"/>
  <c r="S129" i="9"/>
  <c r="O129" i="9"/>
  <c r="K129" i="9"/>
  <c r="G129" i="9"/>
  <c r="AE128" i="9"/>
  <c r="AA128" i="9"/>
  <c r="W128" i="9"/>
  <c r="S128" i="9"/>
  <c r="O128" i="9"/>
  <c r="K128" i="9"/>
  <c r="G128" i="9"/>
  <c r="AE127" i="9"/>
  <c r="AA127" i="9"/>
  <c r="W127" i="9"/>
  <c r="S127" i="9"/>
  <c r="O127" i="9"/>
  <c r="K127" i="9"/>
  <c r="G127" i="9"/>
  <c r="AE126" i="9"/>
  <c r="AA126" i="9"/>
  <c r="W126" i="9"/>
  <c r="S126" i="9"/>
  <c r="O126" i="9"/>
  <c r="K126" i="9"/>
  <c r="G126" i="9"/>
  <c r="AE125" i="9"/>
  <c r="AA125" i="9"/>
  <c r="W125" i="9"/>
  <c r="S125" i="9"/>
  <c r="O125" i="9"/>
  <c r="K125" i="9"/>
  <c r="G125" i="9"/>
  <c r="AE124" i="9"/>
  <c r="AA124" i="9"/>
  <c r="W124" i="9"/>
  <c r="S124" i="9"/>
  <c r="O124" i="9"/>
  <c r="K124" i="9"/>
  <c r="G124" i="9"/>
  <c r="AE123" i="9"/>
  <c r="AA123" i="9"/>
  <c r="W123" i="9"/>
  <c r="S123" i="9"/>
  <c r="O123" i="9"/>
  <c r="K123" i="9"/>
  <c r="G123" i="9"/>
  <c r="AE122" i="9"/>
  <c r="AA122" i="9"/>
  <c r="W122" i="9"/>
  <c r="S122" i="9"/>
  <c r="O122" i="9"/>
  <c r="K122" i="9"/>
  <c r="G122" i="9"/>
  <c r="AE121" i="9"/>
  <c r="AA121" i="9"/>
  <c r="W121" i="9"/>
  <c r="S121" i="9"/>
  <c r="O121" i="9"/>
  <c r="K121" i="9"/>
  <c r="G121" i="9"/>
  <c r="AE120" i="9"/>
  <c r="AA120" i="9"/>
  <c r="W120" i="9"/>
  <c r="S120" i="9"/>
  <c r="O120" i="9"/>
  <c r="K120" i="9"/>
  <c r="G120" i="9"/>
  <c r="AE119" i="9"/>
  <c r="AA119" i="9"/>
  <c r="W119" i="9"/>
  <c r="S119" i="9"/>
  <c r="O119" i="9"/>
  <c r="K119" i="9"/>
  <c r="G119" i="9"/>
  <c r="AE118" i="9"/>
  <c r="AA118" i="9"/>
  <c r="W118" i="9"/>
  <c r="S118" i="9"/>
  <c r="O118" i="9"/>
  <c r="K118" i="9"/>
  <c r="G118" i="9"/>
  <c r="AE117" i="9"/>
  <c r="AA117" i="9"/>
  <c r="W117" i="9"/>
  <c r="S117" i="9"/>
  <c r="O117" i="9"/>
  <c r="K117" i="9"/>
  <c r="G117" i="9"/>
  <c r="AE116" i="9"/>
  <c r="AA116" i="9"/>
  <c r="W116" i="9"/>
  <c r="S116" i="9"/>
  <c r="O116" i="9"/>
  <c r="K116" i="9"/>
  <c r="G116" i="9"/>
  <c r="AE115" i="9"/>
  <c r="AA115" i="9"/>
  <c r="W115" i="9"/>
  <c r="S115" i="9"/>
  <c r="O115" i="9"/>
  <c r="K115" i="9"/>
  <c r="G115" i="9"/>
  <c r="AE114" i="9"/>
  <c r="AA114" i="9"/>
  <c r="W114" i="9"/>
  <c r="S114" i="9"/>
  <c r="O114" i="9"/>
  <c r="K114" i="9"/>
  <c r="G114" i="9"/>
  <c r="AE113" i="9"/>
  <c r="AA113" i="9"/>
  <c r="W113" i="9"/>
  <c r="S113" i="9"/>
  <c r="O113" i="9"/>
  <c r="K113" i="9"/>
  <c r="G113" i="9"/>
  <c r="AE112" i="9"/>
  <c r="AA112" i="9"/>
  <c r="W112" i="9"/>
  <c r="S112" i="9"/>
  <c r="O112" i="9"/>
  <c r="K112" i="9"/>
  <c r="G112" i="9"/>
  <c r="AE111" i="9"/>
  <c r="AA111" i="9"/>
  <c r="W111" i="9"/>
  <c r="S111" i="9"/>
  <c r="O111" i="9"/>
  <c r="K111" i="9"/>
  <c r="G111" i="9"/>
  <c r="AE110" i="9"/>
  <c r="AA110" i="9"/>
  <c r="W110" i="9"/>
  <c r="S110" i="9"/>
  <c r="O110" i="9"/>
  <c r="K110" i="9"/>
  <c r="G110" i="9"/>
  <c r="AE109" i="9"/>
  <c r="AA109" i="9"/>
  <c r="W109" i="9"/>
  <c r="S109" i="9"/>
  <c r="O109" i="9"/>
  <c r="K109" i="9"/>
  <c r="G109" i="9"/>
  <c r="AE108" i="9"/>
  <c r="AA108" i="9"/>
  <c r="W108" i="9"/>
  <c r="S108" i="9"/>
  <c r="O108" i="9"/>
  <c r="K108" i="9"/>
  <c r="G108" i="9"/>
  <c r="AE107" i="9"/>
  <c r="AA107" i="9"/>
  <c r="W107" i="9"/>
  <c r="S107" i="9"/>
  <c r="O107" i="9"/>
  <c r="K107" i="9"/>
  <c r="G107" i="9"/>
  <c r="AE106" i="9"/>
  <c r="AA106" i="9"/>
  <c r="W106" i="9"/>
  <c r="S106" i="9"/>
  <c r="O106" i="9"/>
  <c r="K106" i="9"/>
  <c r="G106" i="9"/>
  <c r="AE105" i="9"/>
  <c r="AA105" i="9"/>
  <c r="W105" i="9"/>
  <c r="S105" i="9"/>
  <c r="O105" i="9"/>
  <c r="K105" i="9"/>
  <c r="G105" i="9"/>
  <c r="AE104" i="9"/>
  <c r="AA104" i="9"/>
  <c r="W104" i="9"/>
  <c r="S104" i="9"/>
  <c r="O104" i="9"/>
  <c r="K104" i="9"/>
  <c r="G104" i="9"/>
  <c r="AE103" i="9"/>
  <c r="AA103" i="9"/>
  <c r="W103" i="9"/>
  <c r="S103" i="9"/>
  <c r="O103" i="9"/>
  <c r="K103" i="9"/>
  <c r="G103" i="9"/>
  <c r="AE102" i="9"/>
  <c r="AA102" i="9"/>
  <c r="W102" i="9"/>
  <c r="S102" i="9"/>
  <c r="O102" i="9"/>
  <c r="K102" i="9"/>
  <c r="G102" i="9"/>
  <c r="AE101" i="9"/>
  <c r="AA101" i="9"/>
  <c r="W101" i="9"/>
  <c r="S101" i="9"/>
  <c r="O101" i="9"/>
  <c r="K101" i="9"/>
  <c r="G101" i="9"/>
  <c r="AE100" i="9"/>
  <c r="AA100" i="9"/>
  <c r="W100" i="9"/>
  <c r="S100" i="9"/>
  <c r="O100" i="9"/>
  <c r="K100" i="9"/>
  <c r="G100" i="9"/>
  <c r="AE99" i="9"/>
  <c r="AA99" i="9"/>
  <c r="W99" i="9"/>
  <c r="S99" i="9"/>
  <c r="O99" i="9"/>
  <c r="K99" i="9"/>
  <c r="G99" i="9"/>
  <c r="AE98" i="9"/>
  <c r="AA98" i="9"/>
  <c r="W98" i="9"/>
  <c r="S98" i="9"/>
  <c r="O98" i="9"/>
  <c r="K98" i="9"/>
  <c r="G98" i="9"/>
  <c r="AE97" i="9"/>
  <c r="AA97" i="9"/>
  <c r="W97" i="9"/>
  <c r="S97" i="9"/>
  <c r="O97" i="9"/>
  <c r="K97" i="9"/>
  <c r="G97" i="9"/>
  <c r="AE96" i="9"/>
  <c r="AA96" i="9"/>
  <c r="W96" i="9"/>
  <c r="S96" i="9"/>
  <c r="O96" i="9"/>
  <c r="K96" i="9"/>
  <c r="G96" i="9"/>
  <c r="AE95" i="9"/>
  <c r="AA95" i="9"/>
  <c r="W95" i="9"/>
  <c r="S95" i="9"/>
  <c r="O95" i="9"/>
  <c r="K95" i="9"/>
  <c r="G95" i="9"/>
  <c r="AE94" i="9"/>
  <c r="AA94" i="9"/>
  <c r="W94" i="9"/>
  <c r="S94" i="9"/>
  <c r="O94" i="9"/>
  <c r="K94" i="9"/>
  <c r="G94" i="9"/>
  <c r="AE93" i="9"/>
  <c r="AA93" i="9"/>
  <c r="W93" i="9"/>
  <c r="S93" i="9"/>
  <c r="O93" i="9"/>
  <c r="K93" i="9"/>
  <c r="G93" i="9"/>
  <c r="AE92" i="9"/>
  <c r="AA92" i="9"/>
  <c r="W92" i="9"/>
  <c r="S92" i="9"/>
  <c r="O92" i="9"/>
  <c r="K92" i="9"/>
  <c r="G92" i="9"/>
  <c r="AE91" i="9"/>
  <c r="AA91" i="9"/>
  <c r="W91" i="9"/>
  <c r="S91" i="9"/>
  <c r="O91" i="9"/>
  <c r="K91" i="9"/>
  <c r="G91" i="9"/>
  <c r="AE90" i="9"/>
  <c r="AA90" i="9"/>
  <c r="W90" i="9"/>
  <c r="S90" i="9"/>
  <c r="O90" i="9"/>
  <c r="K90" i="9"/>
  <c r="G90" i="9"/>
  <c r="AE89" i="9"/>
  <c r="AA89" i="9"/>
  <c r="W89" i="9"/>
  <c r="S89" i="9"/>
  <c r="O89" i="9"/>
  <c r="K89" i="9"/>
  <c r="G89" i="9"/>
  <c r="AE88" i="9"/>
  <c r="AA88" i="9"/>
  <c r="W88" i="9"/>
  <c r="S88" i="9"/>
  <c r="O88" i="9"/>
  <c r="K88" i="9"/>
  <c r="G88" i="9"/>
  <c r="AE87" i="9"/>
  <c r="AA87" i="9"/>
  <c r="W87" i="9"/>
  <c r="S87" i="9"/>
  <c r="O87" i="9"/>
  <c r="K87" i="9"/>
  <c r="G87" i="9"/>
  <c r="AE86" i="9"/>
  <c r="AA86" i="9"/>
  <c r="W86" i="9"/>
  <c r="S86" i="9"/>
  <c r="O86" i="9"/>
  <c r="K86" i="9"/>
  <c r="G86" i="9"/>
  <c r="AE85" i="9"/>
  <c r="AA85" i="9"/>
  <c r="W85" i="9"/>
  <c r="S85" i="9"/>
  <c r="O85" i="9"/>
  <c r="K85" i="9"/>
  <c r="G85" i="9"/>
  <c r="AE84" i="9"/>
  <c r="AA84" i="9"/>
  <c r="W84" i="9"/>
  <c r="S84" i="9"/>
  <c r="O84" i="9"/>
  <c r="K84" i="9"/>
  <c r="G84" i="9"/>
  <c r="AE83" i="9"/>
  <c r="AA83" i="9"/>
  <c r="W83" i="9"/>
  <c r="S83" i="9"/>
  <c r="O83" i="9"/>
  <c r="K83" i="9"/>
  <c r="G83" i="9"/>
  <c r="AE82" i="9"/>
  <c r="AA82" i="9"/>
  <c r="W82" i="9"/>
  <c r="S82" i="9"/>
  <c r="O82" i="9"/>
  <c r="K82" i="9"/>
  <c r="G82" i="9"/>
  <c r="AE81" i="9"/>
  <c r="AA81" i="9"/>
  <c r="W81" i="9"/>
  <c r="S81" i="9"/>
  <c r="O81" i="9"/>
  <c r="K81" i="9"/>
  <c r="G81" i="9"/>
  <c r="AE80" i="9"/>
  <c r="AA80" i="9"/>
  <c r="W80" i="9"/>
  <c r="S80" i="9"/>
  <c r="O80" i="9"/>
  <c r="K80" i="9"/>
  <c r="G80" i="9"/>
  <c r="AE79" i="9"/>
  <c r="AA79" i="9"/>
  <c r="W79" i="9"/>
  <c r="S79" i="9"/>
  <c r="O79" i="9"/>
  <c r="K79" i="9"/>
  <c r="G79" i="9"/>
  <c r="AE78" i="9"/>
  <c r="AA78" i="9"/>
  <c r="W78" i="9"/>
  <c r="S78" i="9"/>
  <c r="O78" i="9"/>
  <c r="K78" i="9"/>
  <c r="G78" i="9"/>
  <c r="AE77" i="9"/>
  <c r="AA77" i="9"/>
  <c r="W77" i="9"/>
  <c r="S77" i="9"/>
  <c r="O77" i="9"/>
  <c r="K77" i="9"/>
  <c r="G77" i="9"/>
  <c r="AE76" i="9"/>
  <c r="AA76" i="9"/>
  <c r="W76" i="9"/>
  <c r="S76" i="9"/>
  <c r="O76" i="9"/>
  <c r="K76" i="9"/>
  <c r="G76" i="9"/>
  <c r="AE75" i="9"/>
  <c r="AA75" i="9"/>
  <c r="W75" i="9"/>
  <c r="S75" i="9"/>
  <c r="O75" i="9"/>
  <c r="K75" i="9"/>
  <c r="G75" i="9"/>
  <c r="AE74" i="9"/>
  <c r="AA74" i="9"/>
  <c r="W74" i="9"/>
  <c r="S74" i="9"/>
  <c r="O74" i="9"/>
  <c r="K74" i="9"/>
  <c r="G74" i="9"/>
  <c r="AE73" i="9"/>
  <c r="AA73" i="9"/>
  <c r="W73" i="9"/>
  <c r="S73" i="9"/>
  <c r="O73" i="9"/>
  <c r="K73" i="9"/>
  <c r="G73" i="9"/>
  <c r="AE72" i="9"/>
  <c r="AA72" i="9"/>
  <c r="W72" i="9"/>
  <c r="S72" i="9"/>
  <c r="O72" i="9"/>
  <c r="K72" i="9"/>
  <c r="G72" i="9"/>
  <c r="AE71" i="9"/>
  <c r="AA71" i="9"/>
  <c r="W71" i="9"/>
  <c r="S71" i="9"/>
  <c r="O71" i="9"/>
  <c r="K71" i="9"/>
  <c r="G71" i="9"/>
  <c r="AE70" i="9"/>
  <c r="AA70" i="9"/>
  <c r="W70" i="9"/>
  <c r="S70" i="9"/>
  <c r="O70" i="9"/>
  <c r="K70" i="9"/>
  <c r="G70" i="9"/>
  <c r="AE69" i="9"/>
  <c r="AA69" i="9"/>
  <c r="W69" i="9"/>
  <c r="S69" i="9"/>
  <c r="O69" i="9"/>
  <c r="K69" i="9"/>
  <c r="G69" i="9"/>
  <c r="AE68" i="9"/>
  <c r="AA68" i="9"/>
  <c r="W68" i="9"/>
  <c r="S68" i="9"/>
  <c r="O68" i="9"/>
  <c r="K68" i="9"/>
  <c r="G68" i="9"/>
  <c r="AE67" i="9"/>
  <c r="AA67" i="9"/>
  <c r="W67" i="9"/>
  <c r="S67" i="9"/>
  <c r="O67" i="9"/>
  <c r="K67" i="9"/>
  <c r="G67" i="9"/>
  <c r="AE66" i="9"/>
  <c r="AA66" i="9"/>
  <c r="W66" i="9"/>
  <c r="S66" i="9"/>
  <c r="O66" i="9"/>
  <c r="K66" i="9"/>
  <c r="G66" i="9"/>
  <c r="AE65" i="9"/>
  <c r="AA65" i="9"/>
  <c r="W65" i="9"/>
  <c r="S65" i="9"/>
  <c r="O65" i="9"/>
  <c r="K65" i="9"/>
  <c r="G65" i="9"/>
  <c r="AE64" i="9"/>
  <c r="AA64" i="9"/>
  <c r="W64" i="9"/>
  <c r="S64" i="9"/>
  <c r="O64" i="9"/>
  <c r="K64" i="9"/>
  <c r="G64" i="9"/>
  <c r="AE63" i="9"/>
  <c r="AA63" i="9"/>
  <c r="W63" i="9"/>
  <c r="S63" i="9"/>
  <c r="O63" i="9"/>
  <c r="K63" i="9"/>
  <c r="G63" i="9"/>
  <c r="AE62" i="9"/>
  <c r="AA62" i="9"/>
  <c r="W62" i="9"/>
  <c r="S62" i="9"/>
  <c r="O62" i="9"/>
  <c r="K62" i="9"/>
  <c r="G62" i="9"/>
  <c r="AE61" i="9"/>
  <c r="AA61" i="9"/>
  <c r="W61" i="9"/>
  <c r="S61" i="9"/>
  <c r="O61" i="9"/>
  <c r="K61" i="9"/>
  <c r="G61" i="9"/>
  <c r="AE60" i="9"/>
  <c r="AA60" i="9"/>
  <c r="W60" i="9"/>
  <c r="S60" i="9"/>
  <c r="O60" i="9"/>
  <c r="K60" i="9"/>
  <c r="G60" i="9"/>
  <c r="AE59" i="9"/>
  <c r="AA59" i="9"/>
  <c r="W59" i="9"/>
  <c r="S59" i="9"/>
  <c r="O59" i="9"/>
  <c r="K59" i="9"/>
  <c r="G59" i="9"/>
  <c r="AE58" i="9"/>
  <c r="AA58" i="9"/>
  <c r="W58" i="9"/>
  <c r="S58" i="9"/>
  <c r="O58" i="9"/>
  <c r="K58" i="9"/>
  <c r="G58" i="9"/>
  <c r="AE57" i="9"/>
  <c r="AA57" i="9"/>
  <c r="W57" i="9"/>
  <c r="S57" i="9"/>
  <c r="O57" i="9"/>
  <c r="K57" i="9"/>
  <c r="G57" i="9"/>
  <c r="AE56" i="9"/>
  <c r="AA56" i="9"/>
  <c r="W56" i="9"/>
  <c r="S56" i="9"/>
  <c r="O56" i="9"/>
  <c r="K56" i="9"/>
  <c r="G56" i="9"/>
  <c r="AE55" i="9"/>
  <c r="AA55" i="9"/>
  <c r="W55" i="9"/>
  <c r="S55" i="9"/>
  <c r="O55" i="9"/>
  <c r="K55" i="9"/>
  <c r="G55" i="9"/>
  <c r="AE54" i="9"/>
  <c r="AA54" i="9"/>
  <c r="W54" i="9"/>
  <c r="S54" i="9"/>
  <c r="O54" i="9"/>
  <c r="K54" i="9"/>
  <c r="G54" i="9"/>
  <c r="AE53" i="9"/>
  <c r="AA53" i="9"/>
  <c r="W53" i="9"/>
  <c r="S53" i="9"/>
  <c r="O53" i="9"/>
  <c r="K53" i="9"/>
  <c r="G53" i="9"/>
  <c r="AE52" i="9"/>
  <c r="AA52" i="9"/>
  <c r="W52" i="9"/>
  <c r="S52" i="9"/>
  <c r="O52" i="9"/>
  <c r="K52" i="9"/>
  <c r="G52" i="9"/>
  <c r="AE51" i="9"/>
  <c r="AA51" i="9"/>
  <c r="W51" i="9"/>
  <c r="S51" i="9"/>
  <c r="O51" i="9"/>
  <c r="K51" i="9"/>
  <c r="G51" i="9"/>
  <c r="AE50" i="9"/>
  <c r="AA50" i="9"/>
  <c r="W50" i="9"/>
  <c r="S50" i="9"/>
  <c r="O50" i="9"/>
  <c r="K50" i="9"/>
  <c r="G50" i="9"/>
  <c r="AE49" i="9"/>
  <c r="AA49" i="9"/>
  <c r="W49" i="9"/>
  <c r="S49" i="9"/>
  <c r="O49" i="9"/>
  <c r="K49" i="9"/>
  <c r="G49" i="9"/>
  <c r="AE48" i="9"/>
  <c r="AA48" i="9"/>
  <c r="W48" i="9"/>
  <c r="S48" i="9"/>
  <c r="O48" i="9"/>
  <c r="K48" i="9"/>
  <c r="G48" i="9"/>
  <c r="AE47" i="9"/>
  <c r="AA47" i="9"/>
  <c r="W47" i="9"/>
  <c r="S47" i="9"/>
  <c r="O47" i="9"/>
  <c r="K47" i="9"/>
  <c r="G47" i="9"/>
  <c r="AE46" i="9"/>
  <c r="AA46" i="9"/>
  <c r="W46" i="9"/>
  <c r="S46" i="9"/>
  <c r="O46" i="9"/>
  <c r="K46" i="9"/>
  <c r="G46" i="9"/>
  <c r="AE45" i="9"/>
  <c r="AA45" i="9"/>
  <c r="W45" i="9"/>
  <c r="S45" i="9"/>
  <c r="O45" i="9"/>
  <c r="K45" i="9"/>
  <c r="G45" i="9"/>
  <c r="AE44" i="9"/>
  <c r="AA44" i="9"/>
  <c r="W44" i="9"/>
  <c r="S44" i="9"/>
  <c r="O44" i="9"/>
  <c r="K44" i="9"/>
  <c r="G44" i="9"/>
  <c r="AE43" i="9"/>
  <c r="AA43" i="9"/>
  <c r="W43" i="9"/>
  <c r="S43" i="9"/>
  <c r="O43" i="9"/>
  <c r="K43" i="9"/>
  <c r="G43" i="9"/>
  <c r="AE42" i="9"/>
  <c r="AA42" i="9"/>
  <c r="W42" i="9"/>
  <c r="S42" i="9"/>
  <c r="O42" i="9"/>
  <c r="K42" i="9"/>
  <c r="G42" i="9"/>
  <c r="AE41" i="9"/>
  <c r="AA41" i="9"/>
  <c r="W41" i="9"/>
  <c r="S41" i="9"/>
  <c r="O41" i="9"/>
  <c r="K41" i="9"/>
  <c r="G41" i="9"/>
  <c r="AE40" i="9"/>
  <c r="AA40" i="9"/>
  <c r="W40" i="9"/>
  <c r="S40" i="9"/>
  <c r="O40" i="9"/>
  <c r="K40" i="9"/>
  <c r="G40" i="9"/>
  <c r="AE39" i="9"/>
  <c r="AA39" i="9"/>
  <c r="W39" i="9"/>
  <c r="S39" i="9"/>
  <c r="O39" i="9"/>
  <c r="K39" i="9"/>
  <c r="G39" i="9"/>
  <c r="AE38" i="9"/>
  <c r="AA38" i="9"/>
  <c r="W38" i="9"/>
  <c r="S38" i="9"/>
  <c r="O38" i="9"/>
  <c r="K38" i="9"/>
  <c r="G38" i="9"/>
  <c r="AE37" i="9"/>
  <c r="AA37" i="9"/>
  <c r="W37" i="9"/>
  <c r="S37" i="9"/>
  <c r="O37" i="9"/>
  <c r="K37" i="9"/>
  <c r="G37" i="9"/>
  <c r="AE36" i="9"/>
  <c r="AA36" i="9"/>
  <c r="W36" i="9"/>
  <c r="S36" i="9"/>
  <c r="O36" i="9"/>
  <c r="K36" i="9"/>
  <c r="G36" i="9"/>
  <c r="AE35" i="9"/>
  <c r="AA35" i="9"/>
  <c r="W35" i="9"/>
  <c r="S35" i="9"/>
  <c r="O35" i="9"/>
  <c r="K35" i="9"/>
  <c r="G35" i="9"/>
  <c r="AE34" i="9"/>
  <c r="AA34" i="9"/>
  <c r="W34" i="9"/>
  <c r="S34" i="9"/>
  <c r="O34" i="9"/>
  <c r="K34" i="9"/>
  <c r="G34" i="9"/>
  <c r="AE33" i="9"/>
  <c r="AA33" i="9"/>
  <c r="W33" i="9"/>
  <c r="S33" i="9"/>
  <c r="O33" i="9"/>
  <c r="K33" i="9"/>
  <c r="G33" i="9"/>
  <c r="AE32" i="9"/>
  <c r="AA32" i="9"/>
  <c r="W32" i="9"/>
  <c r="S32" i="9"/>
  <c r="O32" i="9"/>
  <c r="K32" i="9"/>
  <c r="G32" i="9"/>
  <c r="AE31" i="9"/>
  <c r="AA31" i="9"/>
  <c r="W31" i="9"/>
  <c r="S31" i="9"/>
  <c r="O31" i="9"/>
  <c r="K31" i="9"/>
  <c r="G31" i="9"/>
  <c r="AE30" i="9"/>
  <c r="AA30" i="9"/>
  <c r="W30" i="9"/>
  <c r="S30" i="9"/>
  <c r="O30" i="9"/>
  <c r="K30" i="9"/>
  <c r="G30" i="9"/>
  <c r="AE29" i="9"/>
  <c r="AA29" i="9"/>
  <c r="W29" i="9"/>
  <c r="S29" i="9"/>
  <c r="O29" i="9"/>
  <c r="K29" i="9"/>
  <c r="G29" i="9"/>
  <c r="AE28" i="9"/>
  <c r="AA28" i="9"/>
  <c r="W28" i="9"/>
  <c r="S28" i="9"/>
  <c r="O28" i="9"/>
  <c r="K28" i="9"/>
  <c r="G28" i="9"/>
  <c r="AE27" i="9"/>
  <c r="AA27" i="9"/>
  <c r="W27" i="9"/>
  <c r="S27" i="9"/>
  <c r="O27" i="9"/>
  <c r="K27" i="9"/>
  <c r="G27" i="9"/>
  <c r="AE26" i="9"/>
  <c r="AA26" i="9"/>
  <c r="W26" i="9"/>
  <c r="S26" i="9"/>
  <c r="O26" i="9"/>
  <c r="K26" i="9"/>
  <c r="G26" i="9"/>
  <c r="AE25" i="9"/>
  <c r="AA25" i="9"/>
  <c r="W25" i="9"/>
  <c r="S25" i="9"/>
  <c r="O25" i="9"/>
  <c r="K25" i="9"/>
  <c r="G25" i="9"/>
  <c r="AE24" i="9"/>
  <c r="AA24" i="9"/>
  <c r="W24" i="9"/>
  <c r="S24" i="9"/>
  <c r="O24" i="9"/>
  <c r="K24" i="9"/>
  <c r="G24" i="9"/>
  <c r="AE23" i="9"/>
  <c r="AA23" i="9"/>
  <c r="W23" i="9"/>
  <c r="S23" i="9"/>
  <c r="O23" i="9"/>
  <c r="K23" i="9"/>
  <c r="G23" i="9"/>
  <c r="AE22" i="9"/>
  <c r="AA22" i="9"/>
  <c r="W22" i="9"/>
  <c r="S22" i="9"/>
  <c r="O22" i="9"/>
  <c r="K22" i="9"/>
  <c r="G22" i="9"/>
  <c r="AE21" i="9"/>
  <c r="AA21" i="9"/>
  <c r="W21" i="9"/>
  <c r="S21" i="9"/>
  <c r="O21" i="9"/>
  <c r="K21" i="9"/>
  <c r="G21" i="9"/>
  <c r="AE20" i="9"/>
  <c r="AA20" i="9"/>
  <c r="W20" i="9"/>
  <c r="S20" i="9"/>
  <c r="O20" i="9"/>
  <c r="K20" i="9"/>
  <c r="G20" i="9"/>
  <c r="AE19" i="9"/>
  <c r="AA19" i="9"/>
  <c r="W19" i="9"/>
  <c r="S19" i="9"/>
  <c r="O19" i="9"/>
  <c r="K19" i="9"/>
  <c r="G19" i="9"/>
  <c r="AE18" i="9"/>
  <c r="AA18" i="9"/>
  <c r="W18" i="9"/>
  <c r="S18" i="9"/>
  <c r="O18" i="9"/>
  <c r="K18" i="9"/>
  <c r="G18" i="9"/>
  <c r="AE17" i="9"/>
  <c r="AA17" i="9"/>
  <c r="W17" i="9"/>
  <c r="S17" i="9"/>
  <c r="O17" i="9"/>
  <c r="K17" i="9"/>
  <c r="G17" i="9"/>
  <c r="AE16" i="9"/>
  <c r="AA16" i="9"/>
  <c r="W16" i="9"/>
  <c r="S16" i="9"/>
  <c r="O16" i="9"/>
  <c r="K16" i="9"/>
  <c r="G16" i="9"/>
  <c r="AE15" i="9"/>
  <c r="AA15" i="9"/>
  <c r="W15" i="9"/>
  <c r="S15" i="9"/>
  <c r="O15" i="9"/>
  <c r="K15" i="9"/>
  <c r="G15" i="9"/>
  <c r="AE14" i="9"/>
  <c r="AA14" i="9"/>
  <c r="W14" i="9"/>
  <c r="S14" i="9"/>
  <c r="O14" i="9"/>
  <c r="K14" i="9"/>
  <c r="G14" i="9"/>
  <c r="AE13" i="9"/>
  <c r="AA13" i="9"/>
  <c r="W13" i="9"/>
  <c r="S13" i="9"/>
  <c r="O13" i="9"/>
  <c r="K13" i="9"/>
  <c r="G13" i="9"/>
  <c r="AE12" i="9"/>
  <c r="AA12" i="9"/>
  <c r="W12" i="9"/>
  <c r="S12" i="9"/>
  <c r="O12" i="9"/>
  <c r="K12" i="9"/>
  <c r="G12" i="9"/>
  <c r="AE11" i="9"/>
  <c r="AA11" i="9"/>
  <c r="W11" i="9"/>
  <c r="S11" i="9"/>
  <c r="O11" i="9"/>
  <c r="K11" i="9"/>
  <c r="G11" i="9"/>
  <c r="AE10" i="9"/>
  <c r="AA10" i="9"/>
  <c r="W10" i="9"/>
  <c r="S10" i="9"/>
  <c r="O10" i="9"/>
  <c r="K10" i="9"/>
  <c r="G10" i="9"/>
  <c r="AE9" i="9"/>
  <c r="AA9" i="9"/>
  <c r="W9" i="9"/>
  <c r="S9" i="9"/>
  <c r="O9" i="9"/>
  <c r="K9" i="9"/>
  <c r="G9" i="9"/>
  <c r="AE8" i="9"/>
  <c r="AA8" i="9"/>
  <c r="W8" i="9"/>
  <c r="S8" i="9"/>
  <c r="O8" i="9"/>
  <c r="K8" i="9"/>
  <c r="G8" i="9"/>
  <c r="AE7" i="9"/>
  <c r="AA7" i="9"/>
  <c r="W7" i="9"/>
  <c r="S7" i="9"/>
  <c r="O7" i="9"/>
  <c r="K7" i="9"/>
  <c r="G7" i="9"/>
  <c r="AE6" i="9"/>
  <c r="AA6" i="9"/>
  <c r="W6" i="9"/>
  <c r="S6" i="9"/>
  <c r="O6" i="9"/>
  <c r="K6" i="9"/>
  <c r="G6" i="9"/>
  <c r="AE5" i="9"/>
  <c r="AA5" i="9"/>
  <c r="W5" i="9"/>
  <c r="S5" i="9"/>
  <c r="O5" i="9"/>
  <c r="K5" i="9"/>
  <c r="G5" i="9"/>
  <c r="B13" i="8"/>
  <c r="B12" i="8"/>
  <c r="B5" i="8"/>
  <c r="B6" i="8" s="1"/>
  <c r="B7" i="8" s="1"/>
  <c r="B8" i="8" s="1"/>
  <c r="B9" i="8" s="1"/>
  <c r="B10" i="8" s="1"/>
  <c r="B11" i="8" s="1"/>
  <c r="B4" i="8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E118" i="7" s="1"/>
  <c r="B119" i="6" s="1"/>
  <c r="B119" i="7"/>
  <c r="E119" i="7" s="1"/>
  <c r="B120" i="6" s="1"/>
  <c r="B120" i="7"/>
  <c r="E120" i="7" s="1"/>
  <c r="B121" i="6" s="1"/>
  <c r="B121" i="7"/>
  <c r="E121" i="7" s="1"/>
  <c r="B122" i="6" s="1"/>
  <c r="B122" i="7"/>
  <c r="E122" i="7" s="1"/>
  <c r="B123" i="6" s="1"/>
  <c r="B123" i="7"/>
  <c r="E123" i="7" s="1"/>
  <c r="B124" i="6" s="1"/>
  <c r="B124" i="7"/>
  <c r="E124" i="7" s="1"/>
  <c r="B125" i="6" s="1"/>
  <c r="B125" i="7"/>
  <c r="E125" i="7" s="1"/>
  <c r="B126" i="6" s="1"/>
  <c r="B126" i="7"/>
  <c r="E126" i="7" s="1"/>
  <c r="B127" i="6" s="1"/>
  <c r="B127" i="7"/>
  <c r="E127" i="7" s="1"/>
  <c r="B128" i="6" s="1"/>
  <c r="B128" i="7"/>
  <c r="E128" i="7" s="1"/>
  <c r="B129" i="6" s="1"/>
  <c r="B129" i="7"/>
  <c r="E129" i="7" s="1"/>
  <c r="B130" i="6" s="1"/>
  <c r="B130" i="7"/>
  <c r="E130" i="7" s="1"/>
  <c r="B131" i="6" s="1"/>
  <c r="B131" i="7"/>
  <c r="E131" i="7" s="1"/>
  <c r="B132" i="6" s="1"/>
  <c r="B132" i="7"/>
  <c r="E132" i="7" s="1"/>
  <c r="B133" i="6" s="1"/>
  <c r="B133" i="7"/>
  <c r="E133" i="7" s="1"/>
  <c r="B134" i="6" s="1"/>
  <c r="B134" i="7"/>
  <c r="E134" i="7" s="1"/>
  <c r="B135" i="6" s="1"/>
  <c r="B135" i="7"/>
  <c r="E135" i="7" s="1"/>
  <c r="B136" i="6" s="1"/>
  <c r="B136" i="7"/>
  <c r="E136" i="7" s="1"/>
  <c r="B137" i="6" s="1"/>
  <c r="B137" i="7"/>
  <c r="E137" i="7" s="1"/>
  <c r="B138" i="6" s="1"/>
  <c r="B138" i="7"/>
  <c r="E138" i="7" s="1"/>
  <c r="B139" i="6" s="1"/>
  <c r="B139" i="7"/>
  <c r="E139" i="7" s="1"/>
  <c r="B140" i="6" s="1"/>
  <c r="B140" i="7"/>
  <c r="E140" i="7" s="1"/>
  <c r="B141" i="6" s="1"/>
  <c r="B141" i="7"/>
  <c r="E141" i="7" s="1"/>
  <c r="B142" i="6" s="1"/>
  <c r="B142" i="7"/>
  <c r="E142" i="7" s="1"/>
  <c r="B143" i="6" s="1"/>
  <c r="B143" i="7"/>
  <c r="E143" i="7" s="1"/>
  <c r="B144" i="6" s="1"/>
  <c r="B144" i="7"/>
  <c r="E144" i="7" s="1"/>
  <c r="B145" i="6" s="1"/>
  <c r="B145" i="7"/>
  <c r="E145" i="7" s="1"/>
  <c r="B146" i="6" s="1"/>
  <c r="B3" i="7"/>
  <c r="E3" i="7" s="1"/>
  <c r="B4" i="6" s="1"/>
  <c r="H144" i="9" l="1"/>
  <c r="H40" i="9"/>
  <c r="H104" i="9"/>
  <c r="H125" i="9"/>
  <c r="H131" i="9"/>
  <c r="H58" i="9"/>
  <c r="H100" i="9"/>
  <c r="H107" i="9"/>
  <c r="H122" i="9"/>
  <c r="H53" i="9"/>
  <c r="H56" i="9"/>
  <c r="H51" i="9"/>
  <c r="H47" i="9"/>
  <c r="H10" i="9"/>
  <c r="H27" i="9"/>
  <c r="H126" i="9"/>
  <c r="H141" i="9"/>
  <c r="H93" i="9"/>
  <c r="H13" i="9"/>
  <c r="H25" i="9"/>
  <c r="H98" i="9"/>
  <c r="H118" i="9"/>
  <c r="H134" i="9"/>
  <c r="H46" i="9"/>
  <c r="H49" i="9"/>
  <c r="H69" i="9"/>
  <c r="H85" i="9"/>
  <c r="H115" i="9"/>
  <c r="H61" i="9"/>
  <c r="H21" i="9"/>
  <c r="H9" i="9"/>
  <c r="H32" i="9"/>
  <c r="H94" i="9"/>
  <c r="H97" i="9"/>
  <c r="H102" i="9"/>
  <c r="H111" i="9"/>
  <c r="H117" i="9"/>
  <c r="H121" i="9"/>
  <c r="H14" i="9"/>
  <c r="H105" i="9"/>
  <c r="H48" i="9"/>
  <c r="H63" i="9"/>
  <c r="H75" i="9"/>
  <c r="H110" i="9"/>
  <c r="H130" i="9"/>
  <c r="H119" i="9"/>
  <c r="H140" i="9"/>
  <c r="H62" i="9"/>
  <c r="H78" i="9"/>
  <c r="H95" i="9"/>
  <c r="H41" i="9"/>
  <c r="H68" i="9"/>
  <c r="H80" i="9"/>
  <c r="H136" i="9"/>
  <c r="H142" i="9"/>
  <c r="H88" i="9"/>
  <c r="H50" i="9"/>
  <c r="H70" i="9"/>
  <c r="H82" i="9"/>
  <c r="H84" i="9"/>
  <c r="H79" i="9"/>
  <c r="H146" i="9"/>
  <c r="H19" i="9"/>
  <c r="H24" i="9"/>
  <c r="H43" i="9"/>
  <c r="H74" i="9"/>
  <c r="H128" i="9"/>
  <c r="H96" i="9"/>
  <c r="H127" i="9"/>
  <c r="H36" i="9"/>
  <c r="H72" i="9"/>
  <c r="H133" i="9"/>
  <c r="H138" i="9"/>
  <c r="H57" i="9"/>
  <c r="H20" i="9"/>
  <c r="H26" i="9"/>
  <c r="H29" i="9"/>
  <c r="H38" i="9"/>
  <c r="H114" i="9"/>
  <c r="H31" i="9"/>
  <c r="H6" i="9"/>
  <c r="H15" i="9"/>
  <c r="H52" i="9"/>
  <c r="H59" i="9"/>
  <c r="H113" i="9"/>
  <c r="H54" i="9"/>
  <c r="H81" i="9"/>
  <c r="H86" i="9"/>
  <c r="H92" i="9"/>
  <c r="H106" i="9"/>
  <c r="H99" i="9"/>
  <c r="H112" i="9"/>
  <c r="H124" i="9"/>
  <c r="H132" i="9"/>
  <c r="H137" i="9"/>
  <c r="H129" i="9"/>
  <c r="H12" i="9"/>
  <c r="H91" i="9"/>
  <c r="H143" i="9"/>
  <c r="H28" i="9"/>
  <c r="H42" i="9"/>
  <c r="H83" i="9"/>
  <c r="H33" i="9"/>
  <c r="H76" i="9"/>
  <c r="H101" i="9"/>
  <c r="H123" i="9"/>
  <c r="H66" i="9"/>
  <c r="H5" i="9"/>
  <c r="H8" i="9"/>
  <c r="H65" i="9"/>
  <c r="H90" i="9"/>
  <c r="H11" i="9"/>
  <c r="H103" i="9"/>
  <c r="H37" i="9"/>
  <c r="H89" i="9"/>
  <c r="H22" i="9"/>
  <c r="H39" i="9"/>
  <c r="H60" i="9"/>
  <c r="H30" i="9"/>
  <c r="H64" i="9"/>
  <c r="H55" i="9"/>
  <c r="H139" i="9"/>
  <c r="H145" i="9"/>
  <c r="H44" i="9"/>
  <c r="H73" i="9"/>
  <c r="H108" i="9"/>
  <c r="H116" i="9"/>
  <c r="H120" i="9"/>
  <c r="H16" i="9"/>
  <c r="H35" i="9"/>
  <c r="H71" i="9"/>
  <c r="H23" i="9"/>
  <c r="H7" i="9"/>
  <c r="H87" i="9"/>
  <c r="H109" i="9"/>
  <c r="H17" i="9"/>
  <c r="H77" i="9"/>
  <c r="H34" i="9"/>
  <c r="H18" i="9"/>
  <c r="H67" i="9"/>
  <c r="H135" i="9"/>
  <c r="H45" i="9"/>
  <c r="B128" i="9"/>
  <c r="B129" i="9"/>
  <c r="B144" i="9"/>
  <c r="B145" i="9"/>
  <c r="B130" i="9"/>
  <c r="B146" i="9"/>
  <c r="B131" i="9"/>
  <c r="B4" i="9"/>
  <c r="B132" i="9"/>
  <c r="B133" i="9"/>
  <c r="B134" i="9"/>
  <c r="B119" i="9"/>
  <c r="B135" i="9"/>
  <c r="B120" i="9"/>
  <c r="B136" i="9"/>
  <c r="B121" i="9"/>
  <c r="B137" i="9"/>
  <c r="B122" i="9"/>
  <c r="B138" i="9"/>
  <c r="B123" i="9"/>
  <c r="B139" i="9"/>
  <c r="B124" i="9"/>
  <c r="B140" i="9"/>
  <c r="B125" i="9"/>
  <c r="B141" i="9"/>
  <c r="B126" i="9"/>
  <c r="B142" i="9"/>
  <c r="B127" i="9"/>
  <c r="B143" i="9"/>
  <c r="G4" i="9"/>
  <c r="C4" i="9"/>
  <c r="E76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4" i="7"/>
  <c r="F134" i="9" l="1"/>
  <c r="E4" i="9"/>
  <c r="AE4" i="9"/>
  <c r="F131" i="9"/>
  <c r="E122" i="9"/>
  <c r="B22" i="6"/>
  <c r="B22" i="9"/>
  <c r="C144" i="9"/>
  <c r="B75" i="6"/>
  <c r="B75" i="9"/>
  <c r="B43" i="6"/>
  <c r="B43" i="9"/>
  <c r="B105" i="6"/>
  <c r="B105" i="9"/>
  <c r="B89" i="6"/>
  <c r="B89" i="9"/>
  <c r="B72" i="6"/>
  <c r="B72" i="9"/>
  <c r="B56" i="6"/>
  <c r="B56" i="9"/>
  <c r="B40" i="6"/>
  <c r="B40" i="9"/>
  <c r="B24" i="6"/>
  <c r="B24" i="9"/>
  <c r="B8" i="6"/>
  <c r="B8" i="9"/>
  <c r="C122" i="9"/>
  <c r="E135" i="9"/>
  <c r="C121" i="9"/>
  <c r="C145" i="9"/>
  <c r="C132" i="9"/>
  <c r="E128" i="9"/>
  <c r="F137" i="9"/>
  <c r="F136" i="9"/>
  <c r="B87" i="6"/>
  <c r="B87" i="9"/>
  <c r="C142" i="9"/>
  <c r="B102" i="6"/>
  <c r="B102" i="9"/>
  <c r="B69" i="6"/>
  <c r="B69" i="9"/>
  <c r="B53" i="6"/>
  <c r="B53" i="9"/>
  <c r="B37" i="6"/>
  <c r="B37" i="9"/>
  <c r="B21" i="6"/>
  <c r="B21" i="9"/>
  <c r="B77" i="6"/>
  <c r="B77" i="9"/>
  <c r="E143" i="9"/>
  <c r="E138" i="9"/>
  <c r="E137" i="9"/>
  <c r="C120" i="9"/>
  <c r="C137" i="9"/>
  <c r="C124" i="9"/>
  <c r="E120" i="9"/>
  <c r="B7" i="6"/>
  <c r="B7" i="9"/>
  <c r="C138" i="9"/>
  <c r="B118" i="6"/>
  <c r="B118" i="9"/>
  <c r="B86" i="6"/>
  <c r="B86" i="9"/>
  <c r="B117" i="6"/>
  <c r="B117" i="9"/>
  <c r="B101" i="6"/>
  <c r="B101" i="9"/>
  <c r="B85" i="6"/>
  <c r="S85" i="6" s="1"/>
  <c r="Q85" i="6" s="1"/>
  <c r="O85" i="6" s="1"/>
  <c r="M85" i="6" s="1"/>
  <c r="K85" i="6" s="1"/>
  <c r="I85" i="6" s="1"/>
  <c r="G85" i="6" s="1"/>
  <c r="B85" i="9"/>
  <c r="B68" i="6"/>
  <c r="B68" i="9"/>
  <c r="B52" i="6"/>
  <c r="B52" i="9"/>
  <c r="B36" i="6"/>
  <c r="B36" i="9"/>
  <c r="B20" i="6"/>
  <c r="B20" i="9"/>
  <c r="F143" i="9"/>
  <c r="C127" i="9"/>
  <c r="F120" i="9"/>
  <c r="C133" i="9"/>
  <c r="F127" i="9"/>
  <c r="B71" i="6"/>
  <c r="B71" i="9"/>
  <c r="B84" i="6"/>
  <c r="B84" i="9"/>
  <c r="E142" i="9"/>
  <c r="B88" i="6"/>
  <c r="B88" i="9"/>
  <c r="B83" i="6"/>
  <c r="B83" i="9"/>
  <c r="C126" i="9"/>
  <c r="B104" i="6"/>
  <c r="B104" i="9"/>
  <c r="B5" i="6"/>
  <c r="S5" i="6" s="1"/>
  <c r="Q5" i="6" s="1"/>
  <c r="O5" i="6" s="1"/>
  <c r="M5" i="6" s="1"/>
  <c r="K5" i="6" s="1"/>
  <c r="I5" i="6" s="1"/>
  <c r="G5" i="6" s="1"/>
  <c r="B5" i="9"/>
  <c r="B51" i="6"/>
  <c r="B51" i="9"/>
  <c r="B34" i="6"/>
  <c r="B34" i="9"/>
  <c r="E130" i="9"/>
  <c r="B98" i="6"/>
  <c r="B98" i="9"/>
  <c r="B82" i="6"/>
  <c r="B82" i="9"/>
  <c r="B65" i="6"/>
  <c r="B65" i="9"/>
  <c r="B49" i="6"/>
  <c r="B49" i="9"/>
  <c r="B33" i="6"/>
  <c r="B33" i="9"/>
  <c r="B17" i="6"/>
  <c r="B17" i="9"/>
  <c r="F146" i="9"/>
  <c r="F126" i="9"/>
  <c r="F144" i="9"/>
  <c r="F141" i="9"/>
  <c r="E136" i="9"/>
  <c r="C141" i="9"/>
  <c r="E121" i="9"/>
  <c r="B54" i="6"/>
  <c r="B54" i="9"/>
  <c r="B19" i="6"/>
  <c r="B19" i="9"/>
  <c r="B66" i="6"/>
  <c r="B66" i="9"/>
  <c r="B114" i="6"/>
  <c r="B114" i="9"/>
  <c r="B113" i="6"/>
  <c r="B113" i="9"/>
  <c r="B97" i="6"/>
  <c r="B97" i="9"/>
  <c r="B81" i="6"/>
  <c r="B81" i="9"/>
  <c r="B64" i="6"/>
  <c r="S64" i="6" s="1"/>
  <c r="Q64" i="6" s="1"/>
  <c r="O64" i="6" s="1"/>
  <c r="M64" i="6" s="1"/>
  <c r="K64" i="6" s="1"/>
  <c r="I64" i="6" s="1"/>
  <c r="G64" i="6" s="1"/>
  <c r="B64" i="9"/>
  <c r="B48" i="6"/>
  <c r="B48" i="9"/>
  <c r="B32" i="6"/>
  <c r="B32" i="9"/>
  <c r="B16" i="6"/>
  <c r="B16" i="9"/>
  <c r="E146" i="9"/>
  <c r="E119" i="9"/>
  <c r="E131" i="9"/>
  <c r="E126" i="9"/>
  <c r="F128" i="9"/>
  <c r="E125" i="9"/>
  <c r="C131" i="9"/>
  <c r="C125" i="9"/>
  <c r="B70" i="6"/>
  <c r="B70" i="9"/>
  <c r="B116" i="6"/>
  <c r="S116" i="6" s="1"/>
  <c r="Q116" i="6" s="1"/>
  <c r="O116" i="6" s="1"/>
  <c r="M116" i="6" s="1"/>
  <c r="K116" i="6" s="1"/>
  <c r="I116" i="6" s="1"/>
  <c r="G116" i="6" s="1"/>
  <c r="B116" i="9"/>
  <c r="B115" i="6"/>
  <c r="B115" i="9"/>
  <c r="B31" i="6"/>
  <c r="B31" i="9"/>
  <c r="F125" i="9"/>
  <c r="F140" i="9"/>
  <c r="E132" i="9"/>
  <c r="B39" i="6"/>
  <c r="B39" i="9"/>
  <c r="B103" i="6"/>
  <c r="B103" i="9"/>
  <c r="B67" i="6"/>
  <c r="B67" i="9"/>
  <c r="E127" i="9"/>
  <c r="B50" i="6"/>
  <c r="S50" i="6" s="1"/>
  <c r="Q50" i="6" s="1"/>
  <c r="O50" i="6" s="1"/>
  <c r="M50" i="6" s="1"/>
  <c r="K50" i="6" s="1"/>
  <c r="I50" i="6" s="1"/>
  <c r="G50" i="6" s="1"/>
  <c r="B50" i="9"/>
  <c r="C119" i="9"/>
  <c r="B63" i="6"/>
  <c r="B63" i="9"/>
  <c r="C146" i="9"/>
  <c r="F119" i="9"/>
  <c r="B111" i="6"/>
  <c r="B111" i="9"/>
  <c r="B95" i="6"/>
  <c r="B95" i="9"/>
  <c r="B79" i="6"/>
  <c r="S79" i="6" s="1"/>
  <c r="Q79" i="6" s="1"/>
  <c r="O79" i="6" s="1"/>
  <c r="M79" i="6" s="1"/>
  <c r="K79" i="6" s="1"/>
  <c r="I79" i="6" s="1"/>
  <c r="G79" i="6" s="1"/>
  <c r="B79" i="9"/>
  <c r="B62" i="6"/>
  <c r="B62" i="9"/>
  <c r="B46" i="6"/>
  <c r="B46" i="9"/>
  <c r="B30" i="6"/>
  <c r="B30" i="9"/>
  <c r="B14" i="6"/>
  <c r="B14" i="9"/>
  <c r="C130" i="9"/>
  <c r="F142" i="9"/>
  <c r="AA4" i="9"/>
  <c r="W4" i="9"/>
  <c r="S4" i="9"/>
  <c r="O4" i="9"/>
  <c r="K4" i="9"/>
  <c r="F135" i="9"/>
  <c r="C143" i="9"/>
  <c r="F121" i="9"/>
  <c r="B35" i="6"/>
  <c r="S35" i="6" s="1"/>
  <c r="Q35" i="6" s="1"/>
  <c r="O35" i="6" s="1"/>
  <c r="M35" i="6" s="1"/>
  <c r="K35" i="6" s="1"/>
  <c r="I35" i="6" s="1"/>
  <c r="G35" i="6" s="1"/>
  <c r="B35" i="9"/>
  <c r="B18" i="6"/>
  <c r="B18" i="9"/>
  <c r="B96" i="6"/>
  <c r="B96" i="9"/>
  <c r="B80" i="6"/>
  <c r="B80" i="9"/>
  <c r="B15" i="6"/>
  <c r="B15" i="9"/>
  <c r="B110" i="6"/>
  <c r="S110" i="6" s="1"/>
  <c r="Q110" i="6" s="1"/>
  <c r="O110" i="6" s="1"/>
  <c r="M110" i="6" s="1"/>
  <c r="K110" i="6" s="1"/>
  <c r="I110" i="6" s="1"/>
  <c r="G110" i="6" s="1"/>
  <c r="B110" i="9"/>
  <c r="B94" i="6"/>
  <c r="B94" i="9"/>
  <c r="B78" i="6"/>
  <c r="B78" i="9"/>
  <c r="B61" i="6"/>
  <c r="B61" i="9"/>
  <c r="B45" i="6"/>
  <c r="B45" i="9"/>
  <c r="B29" i="6"/>
  <c r="S29" i="6" s="1"/>
  <c r="Q29" i="6" s="1"/>
  <c r="O29" i="6" s="1"/>
  <c r="M29" i="6" s="1"/>
  <c r="K29" i="6" s="1"/>
  <c r="I29" i="6" s="1"/>
  <c r="G29" i="6" s="1"/>
  <c r="B29" i="9"/>
  <c r="B13" i="6"/>
  <c r="B13" i="9"/>
  <c r="E140" i="9"/>
  <c r="F139" i="9"/>
  <c r="C136" i="9"/>
  <c r="C129" i="9"/>
  <c r="B55" i="6"/>
  <c r="S55" i="6" s="1"/>
  <c r="Q55" i="6" s="1"/>
  <c r="O55" i="6" s="1"/>
  <c r="M55" i="6" s="1"/>
  <c r="K55" i="6" s="1"/>
  <c r="I55" i="6" s="1"/>
  <c r="G55" i="6" s="1"/>
  <c r="B55" i="9"/>
  <c r="B6" i="6"/>
  <c r="S6" i="6" s="1"/>
  <c r="Q6" i="6" s="1"/>
  <c r="O6" i="6" s="1"/>
  <c r="M6" i="6" s="1"/>
  <c r="K6" i="6" s="1"/>
  <c r="I6" i="6" s="1"/>
  <c r="G6" i="6" s="1"/>
  <c r="B6" i="9"/>
  <c r="C128" i="9"/>
  <c r="B100" i="6"/>
  <c r="B100" i="9"/>
  <c r="B99" i="6"/>
  <c r="B99" i="9"/>
  <c r="F138" i="9"/>
  <c r="B112" i="6"/>
  <c r="B112" i="9"/>
  <c r="B47" i="6"/>
  <c r="S47" i="6" s="1"/>
  <c r="Q47" i="6" s="1"/>
  <c r="O47" i="6" s="1"/>
  <c r="M47" i="6" s="1"/>
  <c r="K47" i="6" s="1"/>
  <c r="I47" i="6" s="1"/>
  <c r="G47" i="6" s="1"/>
  <c r="B47" i="9"/>
  <c r="B109" i="6"/>
  <c r="S109" i="6" s="1"/>
  <c r="Q109" i="6" s="1"/>
  <c r="O109" i="6" s="1"/>
  <c r="M109" i="6" s="1"/>
  <c r="K109" i="6" s="1"/>
  <c r="I109" i="6" s="1"/>
  <c r="G109" i="6" s="1"/>
  <c r="B109" i="9"/>
  <c r="B93" i="6"/>
  <c r="B93" i="9"/>
  <c r="B76" i="6"/>
  <c r="B76" i="9"/>
  <c r="B60" i="6"/>
  <c r="B60" i="9"/>
  <c r="B44" i="6"/>
  <c r="S44" i="6" s="1"/>
  <c r="Q44" i="6" s="1"/>
  <c r="O44" i="6" s="1"/>
  <c r="M44" i="6" s="1"/>
  <c r="K44" i="6" s="1"/>
  <c r="I44" i="6" s="1"/>
  <c r="G44" i="6" s="1"/>
  <c r="B44" i="9"/>
  <c r="B28" i="6"/>
  <c r="B28" i="9"/>
  <c r="B12" i="6"/>
  <c r="B12" i="9"/>
  <c r="F123" i="9"/>
  <c r="C139" i="9"/>
  <c r="F145" i="9"/>
  <c r="E139" i="9"/>
  <c r="B27" i="6"/>
  <c r="B27" i="9"/>
  <c r="E129" i="9"/>
  <c r="E134" i="9"/>
  <c r="F129" i="9"/>
  <c r="E123" i="9"/>
  <c r="B108" i="6"/>
  <c r="B108" i="9"/>
  <c r="F132" i="9"/>
  <c r="B10" i="6"/>
  <c r="B10" i="9"/>
  <c r="C135" i="9"/>
  <c r="F130" i="9"/>
  <c r="E141" i="9"/>
  <c r="C134" i="9"/>
  <c r="B23" i="6"/>
  <c r="S23" i="6" s="1"/>
  <c r="Q23" i="6" s="1"/>
  <c r="O23" i="6" s="1"/>
  <c r="M23" i="6" s="1"/>
  <c r="K23" i="6" s="1"/>
  <c r="I23" i="6" s="1"/>
  <c r="G23" i="6" s="1"/>
  <c r="B23" i="9"/>
  <c r="E133" i="9"/>
  <c r="B38" i="6"/>
  <c r="B38" i="9"/>
  <c r="E144" i="9"/>
  <c r="B92" i="6"/>
  <c r="B92" i="9"/>
  <c r="B59" i="6"/>
  <c r="S59" i="6" s="1"/>
  <c r="Q59" i="6" s="1"/>
  <c r="O59" i="6" s="1"/>
  <c r="M59" i="6" s="1"/>
  <c r="K59" i="6" s="1"/>
  <c r="I59" i="6" s="1"/>
  <c r="G59" i="6" s="1"/>
  <c r="B59" i="9"/>
  <c r="B11" i="6"/>
  <c r="S11" i="6" s="1"/>
  <c r="Q11" i="6" s="1"/>
  <c r="O11" i="6" s="1"/>
  <c r="M11" i="6" s="1"/>
  <c r="K11" i="6" s="1"/>
  <c r="I11" i="6" s="1"/>
  <c r="G11" i="6" s="1"/>
  <c r="B11" i="9"/>
  <c r="B107" i="6"/>
  <c r="B107" i="9"/>
  <c r="B91" i="6"/>
  <c r="B91" i="9"/>
  <c r="B74" i="6"/>
  <c r="B74" i="9"/>
  <c r="B58" i="6"/>
  <c r="S58" i="6" s="1"/>
  <c r="Q58" i="6" s="1"/>
  <c r="O58" i="6" s="1"/>
  <c r="M58" i="6" s="1"/>
  <c r="K58" i="6" s="1"/>
  <c r="I58" i="6" s="1"/>
  <c r="G58" i="6" s="1"/>
  <c r="B58" i="9"/>
  <c r="B42" i="6"/>
  <c r="B42" i="9"/>
  <c r="B26" i="6"/>
  <c r="S26" i="6" s="1"/>
  <c r="Q26" i="6" s="1"/>
  <c r="O26" i="6" s="1"/>
  <c r="M26" i="6" s="1"/>
  <c r="K26" i="6" s="1"/>
  <c r="I26" i="6" s="1"/>
  <c r="G26" i="6" s="1"/>
  <c r="B26" i="9"/>
  <c r="E124" i="9"/>
  <c r="E145" i="9"/>
  <c r="C123" i="9"/>
  <c r="B106" i="6"/>
  <c r="B106" i="9"/>
  <c r="B90" i="6"/>
  <c r="B90" i="9"/>
  <c r="B73" i="6"/>
  <c r="B73" i="9"/>
  <c r="B57" i="6"/>
  <c r="B57" i="9"/>
  <c r="B41" i="6"/>
  <c r="B41" i="9"/>
  <c r="B25" i="6"/>
  <c r="S25" i="6" s="1"/>
  <c r="Q25" i="6" s="1"/>
  <c r="O25" i="6" s="1"/>
  <c r="M25" i="6" s="1"/>
  <c r="K25" i="6" s="1"/>
  <c r="I25" i="6" s="1"/>
  <c r="G25" i="6" s="1"/>
  <c r="B25" i="9"/>
  <c r="B9" i="9"/>
  <c r="B9" i="6"/>
  <c r="F124" i="9"/>
  <c r="C140" i="9"/>
  <c r="F133" i="9"/>
  <c r="F4" i="9"/>
  <c r="F122" i="9"/>
  <c r="S4" i="6"/>
  <c r="Q4" i="6" s="1"/>
  <c r="O4" i="6" s="1"/>
  <c r="M4" i="6" s="1"/>
  <c r="K4" i="6" s="1"/>
  <c r="I4" i="6" s="1"/>
  <c r="G4" i="6" s="1"/>
  <c r="F4" i="6"/>
  <c r="E4" i="6"/>
  <c r="C4" i="6"/>
  <c r="S101" i="6"/>
  <c r="Q101" i="6" s="1"/>
  <c r="O101" i="6" s="1"/>
  <c r="M101" i="6" s="1"/>
  <c r="K101" i="6" s="1"/>
  <c r="I101" i="6" s="1"/>
  <c r="G101" i="6" s="1"/>
  <c r="S7" i="6"/>
  <c r="Q7" i="6" s="1"/>
  <c r="O7" i="6" s="1"/>
  <c r="M7" i="6" s="1"/>
  <c r="K7" i="6" s="1"/>
  <c r="I7" i="6" s="1"/>
  <c r="G7" i="6" s="1"/>
  <c r="S72" i="6"/>
  <c r="Q72" i="6" s="1"/>
  <c r="O72" i="6" s="1"/>
  <c r="M72" i="6" s="1"/>
  <c r="K72" i="6" s="1"/>
  <c r="I72" i="6" s="1"/>
  <c r="G72" i="6" s="1"/>
  <c r="S76" i="6"/>
  <c r="Q76" i="6" s="1"/>
  <c r="O76" i="6" s="1"/>
  <c r="M76" i="6" s="1"/>
  <c r="K76" i="6" s="1"/>
  <c r="I76" i="6" s="1"/>
  <c r="G76" i="6" s="1"/>
  <c r="S125" i="6"/>
  <c r="Q125" i="6" s="1"/>
  <c r="O125" i="6" s="1"/>
  <c r="M125" i="6" s="1"/>
  <c r="K125" i="6" s="1"/>
  <c r="I125" i="6" s="1"/>
  <c r="G125" i="6" s="1"/>
  <c r="S61" i="6"/>
  <c r="Q61" i="6" s="1"/>
  <c r="O61" i="6" s="1"/>
  <c r="M61" i="6" s="1"/>
  <c r="K61" i="6" s="1"/>
  <c r="I61" i="6" s="1"/>
  <c r="G61" i="6" s="1"/>
  <c r="S83" i="6"/>
  <c r="Q83" i="6" s="1"/>
  <c r="O83" i="6" s="1"/>
  <c r="M83" i="6" s="1"/>
  <c r="K83" i="6" s="1"/>
  <c r="I83" i="6" s="1"/>
  <c r="G83" i="6" s="1"/>
  <c r="S43" i="6"/>
  <c r="Q43" i="6" s="1"/>
  <c r="O43" i="6" s="1"/>
  <c r="M43" i="6" s="1"/>
  <c r="K43" i="6" s="1"/>
  <c r="I43" i="6" s="1"/>
  <c r="G43" i="6" s="1"/>
  <c r="S14" i="6"/>
  <c r="Q14" i="6" s="1"/>
  <c r="O14" i="6" s="1"/>
  <c r="M14" i="6" s="1"/>
  <c r="K14" i="6" s="1"/>
  <c r="I14" i="6" s="1"/>
  <c r="G14" i="6" s="1"/>
  <c r="S54" i="6"/>
  <c r="Q54" i="6" s="1"/>
  <c r="O54" i="6" s="1"/>
  <c r="M54" i="6" s="1"/>
  <c r="K54" i="6" s="1"/>
  <c r="I54" i="6" s="1"/>
  <c r="G54" i="6" s="1"/>
  <c r="S95" i="6"/>
  <c r="Q95" i="6" s="1"/>
  <c r="O95" i="6" s="1"/>
  <c r="M95" i="6" s="1"/>
  <c r="K95" i="6" s="1"/>
  <c r="I95" i="6" s="1"/>
  <c r="G95" i="6" s="1"/>
  <c r="S71" i="6"/>
  <c r="Q71" i="6" s="1"/>
  <c r="O71" i="6" s="1"/>
  <c r="M71" i="6" s="1"/>
  <c r="K71" i="6" s="1"/>
  <c r="I71" i="6" s="1"/>
  <c r="G71" i="6" s="1"/>
  <c r="S15" i="6"/>
  <c r="Q15" i="6" s="1"/>
  <c r="O15" i="6" s="1"/>
  <c r="M15" i="6" s="1"/>
  <c r="K15" i="6" s="1"/>
  <c r="I15" i="6" s="1"/>
  <c r="G15" i="6" s="1"/>
  <c r="S56" i="6"/>
  <c r="Q56" i="6" s="1"/>
  <c r="O56" i="6" s="1"/>
  <c r="M56" i="6" s="1"/>
  <c r="K56" i="6" s="1"/>
  <c r="I56" i="6" s="1"/>
  <c r="G56" i="6" s="1"/>
  <c r="S41" i="6"/>
  <c r="Q41" i="6" s="1"/>
  <c r="O41" i="6" s="1"/>
  <c r="M41" i="6" s="1"/>
  <c r="K41" i="6" s="1"/>
  <c r="I41" i="6" s="1"/>
  <c r="G41" i="6" s="1"/>
  <c r="S87" i="6"/>
  <c r="Q87" i="6" s="1"/>
  <c r="O87" i="6" s="1"/>
  <c r="M87" i="6" s="1"/>
  <c r="K87" i="6" s="1"/>
  <c r="I87" i="6" s="1"/>
  <c r="G87" i="6" s="1"/>
  <c r="S51" i="6"/>
  <c r="Q51" i="6" s="1"/>
  <c r="O51" i="6" s="1"/>
  <c r="M51" i="6" s="1"/>
  <c r="K51" i="6" s="1"/>
  <c r="I51" i="6" s="1"/>
  <c r="G51" i="6" s="1"/>
  <c r="S65" i="6"/>
  <c r="Q65" i="6" s="1"/>
  <c r="O65" i="6" s="1"/>
  <c r="M65" i="6" s="1"/>
  <c r="K65" i="6" s="1"/>
  <c r="I65" i="6" s="1"/>
  <c r="G65" i="6" s="1"/>
  <c r="S42" i="6"/>
  <c r="Q42" i="6" s="1"/>
  <c r="O42" i="6" s="1"/>
  <c r="M42" i="6" s="1"/>
  <c r="K42" i="6" s="1"/>
  <c r="I42" i="6" s="1"/>
  <c r="G42" i="6" s="1"/>
  <c r="S113" i="6"/>
  <c r="Q113" i="6" s="1"/>
  <c r="O113" i="6" s="1"/>
  <c r="M113" i="6" s="1"/>
  <c r="K113" i="6" s="1"/>
  <c r="I113" i="6" s="1"/>
  <c r="G113" i="6" s="1"/>
  <c r="S81" i="6"/>
  <c r="Q81" i="6" s="1"/>
  <c r="O81" i="6" s="1"/>
  <c r="M81" i="6" s="1"/>
  <c r="K81" i="6" s="1"/>
  <c r="I81" i="6" s="1"/>
  <c r="G81" i="6" s="1"/>
  <c r="S88" i="6"/>
  <c r="Q88" i="6" s="1"/>
  <c r="O88" i="6" s="1"/>
  <c r="M88" i="6" s="1"/>
  <c r="K88" i="6" s="1"/>
  <c r="I88" i="6" s="1"/>
  <c r="G88" i="6" s="1"/>
  <c r="S27" i="6"/>
  <c r="Q27" i="6" s="1"/>
  <c r="O27" i="6" s="1"/>
  <c r="M27" i="6" s="1"/>
  <c r="K27" i="6" s="1"/>
  <c r="I27" i="6" s="1"/>
  <c r="G27" i="6" s="1"/>
  <c r="S33" i="6"/>
  <c r="Q33" i="6" s="1"/>
  <c r="O33" i="6" s="1"/>
  <c r="M33" i="6" s="1"/>
  <c r="K33" i="6" s="1"/>
  <c r="I33" i="6" s="1"/>
  <c r="G33" i="6" s="1"/>
  <c r="S140" i="6"/>
  <c r="Q140" i="6" s="1"/>
  <c r="O140" i="6" s="1"/>
  <c r="M140" i="6" s="1"/>
  <c r="K140" i="6" s="1"/>
  <c r="I140" i="6" s="1"/>
  <c r="G140" i="6" s="1"/>
  <c r="S48" i="6"/>
  <c r="Q48" i="6" s="1"/>
  <c r="O48" i="6" s="1"/>
  <c r="M48" i="6" s="1"/>
  <c r="K48" i="6" s="1"/>
  <c r="I48" i="6" s="1"/>
  <c r="G48" i="6" s="1"/>
  <c r="S73" i="6"/>
  <c r="Q73" i="6" s="1"/>
  <c r="O73" i="6" s="1"/>
  <c r="M73" i="6" s="1"/>
  <c r="K73" i="6" s="1"/>
  <c r="I73" i="6" s="1"/>
  <c r="G73" i="6" s="1"/>
  <c r="S16" i="6"/>
  <c r="Q16" i="6" s="1"/>
  <c r="O16" i="6" s="1"/>
  <c r="M16" i="6" s="1"/>
  <c r="K16" i="6" s="1"/>
  <c r="I16" i="6" s="1"/>
  <c r="G16" i="6" s="1"/>
  <c r="S134" i="6"/>
  <c r="Q134" i="6" s="1"/>
  <c r="O134" i="6" s="1"/>
  <c r="M134" i="6" s="1"/>
  <c r="K134" i="6" s="1"/>
  <c r="I134" i="6" s="1"/>
  <c r="G134" i="6" s="1"/>
  <c r="S122" i="6"/>
  <c r="Q122" i="6" s="1"/>
  <c r="O122" i="6" s="1"/>
  <c r="M122" i="6" s="1"/>
  <c r="K122" i="6" s="1"/>
  <c r="I122" i="6" s="1"/>
  <c r="G122" i="6" s="1"/>
  <c r="S143" i="6"/>
  <c r="Q143" i="6" s="1"/>
  <c r="O143" i="6" s="1"/>
  <c r="M143" i="6" s="1"/>
  <c r="K143" i="6" s="1"/>
  <c r="I143" i="6" s="1"/>
  <c r="G143" i="6" s="1"/>
  <c r="S82" i="6"/>
  <c r="Q82" i="6" s="1"/>
  <c r="O82" i="6" s="1"/>
  <c r="M82" i="6" s="1"/>
  <c r="K82" i="6" s="1"/>
  <c r="I82" i="6" s="1"/>
  <c r="G82" i="6" s="1"/>
  <c r="S13" i="6"/>
  <c r="Q13" i="6" s="1"/>
  <c r="O13" i="6" s="1"/>
  <c r="M13" i="6" s="1"/>
  <c r="K13" i="6" s="1"/>
  <c r="I13" i="6" s="1"/>
  <c r="G13" i="6" s="1"/>
  <c r="S127" i="6"/>
  <c r="Q127" i="6" s="1"/>
  <c r="O127" i="6" s="1"/>
  <c r="M127" i="6" s="1"/>
  <c r="K127" i="6" s="1"/>
  <c r="I127" i="6" s="1"/>
  <c r="G127" i="6" s="1"/>
  <c r="S39" i="6"/>
  <c r="Q39" i="6" s="1"/>
  <c r="O39" i="6" s="1"/>
  <c r="M39" i="6" s="1"/>
  <c r="K39" i="6" s="1"/>
  <c r="I39" i="6" s="1"/>
  <c r="G39" i="6" s="1"/>
  <c r="S30" i="6"/>
  <c r="Q30" i="6" s="1"/>
  <c r="O30" i="6" s="1"/>
  <c r="M30" i="6" s="1"/>
  <c r="K30" i="6" s="1"/>
  <c r="I30" i="6" s="1"/>
  <c r="G30" i="6" s="1"/>
  <c r="S10" i="6"/>
  <c r="Q10" i="6" s="1"/>
  <c r="O10" i="6" s="1"/>
  <c r="M10" i="6" s="1"/>
  <c r="K10" i="6" s="1"/>
  <c r="I10" i="6" s="1"/>
  <c r="G10" i="6" s="1"/>
  <c r="S18" i="6"/>
  <c r="Q18" i="6" s="1"/>
  <c r="O18" i="6" s="1"/>
  <c r="M18" i="6" s="1"/>
  <c r="K18" i="6" s="1"/>
  <c r="I18" i="6" s="1"/>
  <c r="G18" i="6" s="1"/>
  <c r="S115" i="6"/>
  <c r="Q115" i="6" s="1"/>
  <c r="O115" i="6" s="1"/>
  <c r="M115" i="6" s="1"/>
  <c r="K115" i="6" s="1"/>
  <c r="I115" i="6" s="1"/>
  <c r="G115" i="6" s="1"/>
  <c r="S31" i="6"/>
  <c r="Q31" i="6" s="1"/>
  <c r="O31" i="6" s="1"/>
  <c r="M31" i="6" s="1"/>
  <c r="K31" i="6" s="1"/>
  <c r="I31" i="6" s="1"/>
  <c r="G31" i="6" s="1"/>
  <c r="S62" i="6"/>
  <c r="Q62" i="6" s="1"/>
  <c r="O62" i="6" s="1"/>
  <c r="M62" i="6" s="1"/>
  <c r="K62" i="6" s="1"/>
  <c r="I62" i="6" s="1"/>
  <c r="G62" i="6" s="1"/>
  <c r="S98" i="6"/>
  <c r="Q98" i="6" s="1"/>
  <c r="O98" i="6" s="1"/>
  <c r="M98" i="6" s="1"/>
  <c r="K98" i="6" s="1"/>
  <c r="I98" i="6" s="1"/>
  <c r="G98" i="6" s="1"/>
  <c r="S17" i="6"/>
  <c r="Q17" i="6" s="1"/>
  <c r="O17" i="6" s="1"/>
  <c r="M17" i="6" s="1"/>
  <c r="K17" i="6" s="1"/>
  <c r="I17" i="6" s="1"/>
  <c r="G17" i="6" s="1"/>
  <c r="S84" i="6"/>
  <c r="Q84" i="6" s="1"/>
  <c r="O84" i="6" s="1"/>
  <c r="M84" i="6" s="1"/>
  <c r="K84" i="6" s="1"/>
  <c r="I84" i="6" s="1"/>
  <c r="G84" i="6" s="1"/>
  <c r="S107" i="6"/>
  <c r="Q107" i="6" s="1"/>
  <c r="O107" i="6" s="1"/>
  <c r="M107" i="6" s="1"/>
  <c r="K107" i="6" s="1"/>
  <c r="I107" i="6" s="1"/>
  <c r="G107" i="6" s="1"/>
  <c r="S141" i="6"/>
  <c r="Q141" i="6" s="1"/>
  <c r="O141" i="6" s="1"/>
  <c r="M141" i="6" s="1"/>
  <c r="K141" i="6" s="1"/>
  <c r="I141" i="6" s="1"/>
  <c r="G141" i="6" s="1"/>
  <c r="S32" i="6"/>
  <c r="Q32" i="6" s="1"/>
  <c r="O32" i="6" s="1"/>
  <c r="M32" i="6" s="1"/>
  <c r="K32" i="6" s="1"/>
  <c r="I32" i="6" s="1"/>
  <c r="G32" i="6" s="1"/>
  <c r="S49" i="6"/>
  <c r="Q49" i="6" s="1"/>
  <c r="O49" i="6" s="1"/>
  <c r="M49" i="6" s="1"/>
  <c r="K49" i="6" s="1"/>
  <c r="I49" i="6" s="1"/>
  <c r="G49" i="6" s="1"/>
  <c r="S129" i="6"/>
  <c r="Q129" i="6" s="1"/>
  <c r="O129" i="6" s="1"/>
  <c r="M129" i="6" s="1"/>
  <c r="K129" i="6" s="1"/>
  <c r="I129" i="6" s="1"/>
  <c r="G129" i="6" s="1"/>
  <c r="S45" i="6"/>
  <c r="Q45" i="6" s="1"/>
  <c r="O45" i="6" s="1"/>
  <c r="M45" i="6" s="1"/>
  <c r="K45" i="6" s="1"/>
  <c r="I45" i="6" s="1"/>
  <c r="G45" i="6" s="1"/>
  <c r="S145" i="6"/>
  <c r="Q145" i="6" s="1"/>
  <c r="O145" i="6" s="1"/>
  <c r="M145" i="6" s="1"/>
  <c r="K145" i="6" s="1"/>
  <c r="I145" i="6" s="1"/>
  <c r="G145" i="6" s="1"/>
  <c r="S138" i="6"/>
  <c r="Q138" i="6" s="1"/>
  <c r="O138" i="6" s="1"/>
  <c r="M138" i="6" s="1"/>
  <c r="K138" i="6" s="1"/>
  <c r="I138" i="6" s="1"/>
  <c r="G138" i="6" s="1"/>
  <c r="S124" i="6"/>
  <c r="Q124" i="6" s="1"/>
  <c r="O124" i="6" s="1"/>
  <c r="M124" i="6" s="1"/>
  <c r="K124" i="6" s="1"/>
  <c r="I124" i="6" s="1"/>
  <c r="G124" i="6" s="1"/>
  <c r="S111" i="6"/>
  <c r="Q111" i="6" s="1"/>
  <c r="O111" i="6" s="1"/>
  <c r="M111" i="6" s="1"/>
  <c r="K111" i="6" s="1"/>
  <c r="I111" i="6" s="1"/>
  <c r="G111" i="6" s="1"/>
  <c r="S135" i="6"/>
  <c r="Q135" i="6" s="1"/>
  <c r="O135" i="6" s="1"/>
  <c r="M135" i="6" s="1"/>
  <c r="K135" i="6" s="1"/>
  <c r="I135" i="6" s="1"/>
  <c r="G135" i="6" s="1"/>
  <c r="S86" i="6"/>
  <c r="Q86" i="6" s="1"/>
  <c r="O86" i="6" s="1"/>
  <c r="M86" i="6" s="1"/>
  <c r="K86" i="6" s="1"/>
  <c r="I86" i="6" s="1"/>
  <c r="G86" i="6" s="1"/>
  <c r="S128" i="6"/>
  <c r="Q128" i="6" s="1"/>
  <c r="O128" i="6" s="1"/>
  <c r="M128" i="6" s="1"/>
  <c r="K128" i="6" s="1"/>
  <c r="I128" i="6" s="1"/>
  <c r="G128" i="6" s="1"/>
  <c r="S19" i="6"/>
  <c r="Q19" i="6" s="1"/>
  <c r="O19" i="6" s="1"/>
  <c r="M19" i="6" s="1"/>
  <c r="K19" i="6" s="1"/>
  <c r="I19" i="6" s="1"/>
  <c r="G19" i="6" s="1"/>
  <c r="S66" i="6"/>
  <c r="Q66" i="6" s="1"/>
  <c r="O66" i="6" s="1"/>
  <c r="M66" i="6" s="1"/>
  <c r="K66" i="6" s="1"/>
  <c r="I66" i="6" s="1"/>
  <c r="G66" i="6" s="1"/>
  <c r="S53" i="6"/>
  <c r="Q53" i="6" s="1"/>
  <c r="O53" i="6" s="1"/>
  <c r="M53" i="6" s="1"/>
  <c r="K53" i="6" s="1"/>
  <c r="I53" i="6" s="1"/>
  <c r="G53" i="6" s="1"/>
  <c r="S24" i="6"/>
  <c r="Q24" i="6" s="1"/>
  <c r="O24" i="6" s="1"/>
  <c r="M24" i="6" s="1"/>
  <c r="K24" i="6" s="1"/>
  <c r="I24" i="6" s="1"/>
  <c r="G24" i="6" s="1"/>
  <c r="S28" i="6"/>
  <c r="Q28" i="6" s="1"/>
  <c r="O28" i="6" s="1"/>
  <c r="M28" i="6" s="1"/>
  <c r="K28" i="6" s="1"/>
  <c r="I28" i="6" s="1"/>
  <c r="G28" i="6" s="1"/>
  <c r="S8" i="6"/>
  <c r="Q8" i="6" s="1"/>
  <c r="O8" i="6" s="1"/>
  <c r="M8" i="6" s="1"/>
  <c r="K8" i="6" s="1"/>
  <c r="I8" i="6" s="1"/>
  <c r="G8" i="6" s="1"/>
  <c r="S52" i="6"/>
  <c r="Q52" i="6" s="1"/>
  <c r="O52" i="6" s="1"/>
  <c r="M52" i="6" s="1"/>
  <c r="K52" i="6" s="1"/>
  <c r="I52" i="6" s="1"/>
  <c r="G52" i="6" s="1"/>
  <c r="S118" i="6"/>
  <c r="Q118" i="6" s="1"/>
  <c r="O118" i="6" s="1"/>
  <c r="M118" i="6" s="1"/>
  <c r="K118" i="6" s="1"/>
  <c r="I118" i="6" s="1"/>
  <c r="G118" i="6" s="1"/>
  <c r="S94" i="6"/>
  <c r="Q94" i="6" s="1"/>
  <c r="O94" i="6" s="1"/>
  <c r="M94" i="6" s="1"/>
  <c r="K94" i="6" s="1"/>
  <c r="I94" i="6" s="1"/>
  <c r="G94" i="6" s="1"/>
  <c r="S146" i="6"/>
  <c r="Q146" i="6" s="1"/>
  <c r="O146" i="6" s="1"/>
  <c r="M146" i="6" s="1"/>
  <c r="K146" i="6" s="1"/>
  <c r="I146" i="6" s="1"/>
  <c r="G146" i="6" s="1"/>
  <c r="S77" i="6"/>
  <c r="Q77" i="6" s="1"/>
  <c r="O77" i="6" s="1"/>
  <c r="M77" i="6" s="1"/>
  <c r="K77" i="6" s="1"/>
  <c r="I77" i="6" s="1"/>
  <c r="G77" i="6" s="1"/>
  <c r="S91" i="6"/>
  <c r="Q91" i="6" s="1"/>
  <c r="O91" i="6" s="1"/>
  <c r="M91" i="6" s="1"/>
  <c r="K91" i="6" s="1"/>
  <c r="I91" i="6" s="1"/>
  <c r="G91" i="6" s="1"/>
  <c r="S131" i="6"/>
  <c r="Q131" i="6" s="1"/>
  <c r="O131" i="6" s="1"/>
  <c r="M131" i="6" s="1"/>
  <c r="K131" i="6" s="1"/>
  <c r="I131" i="6" s="1"/>
  <c r="G131" i="6" s="1"/>
  <c r="S137" i="6"/>
  <c r="Q137" i="6" s="1"/>
  <c r="O137" i="6" s="1"/>
  <c r="M137" i="6" s="1"/>
  <c r="K137" i="6" s="1"/>
  <c r="I137" i="6" s="1"/>
  <c r="G137" i="6" s="1"/>
  <c r="S120" i="6"/>
  <c r="Q120" i="6" s="1"/>
  <c r="O120" i="6" s="1"/>
  <c r="M120" i="6" s="1"/>
  <c r="K120" i="6" s="1"/>
  <c r="I120" i="6" s="1"/>
  <c r="G120" i="6" s="1"/>
  <c r="S93" i="6"/>
  <c r="Q93" i="6" s="1"/>
  <c r="O93" i="6" s="1"/>
  <c r="M93" i="6" s="1"/>
  <c r="K93" i="6" s="1"/>
  <c r="I93" i="6" s="1"/>
  <c r="G93" i="6" s="1"/>
  <c r="S105" i="6"/>
  <c r="Q105" i="6" s="1"/>
  <c r="O105" i="6" s="1"/>
  <c r="M105" i="6" s="1"/>
  <c r="K105" i="6" s="1"/>
  <c r="I105" i="6" s="1"/>
  <c r="G105" i="6" s="1"/>
  <c r="S20" i="6"/>
  <c r="Q20" i="6" s="1"/>
  <c r="O20" i="6" s="1"/>
  <c r="M20" i="6" s="1"/>
  <c r="K20" i="6" s="1"/>
  <c r="I20" i="6" s="1"/>
  <c r="G20" i="6" s="1"/>
  <c r="S130" i="6"/>
  <c r="Q130" i="6" s="1"/>
  <c r="O130" i="6" s="1"/>
  <c r="M130" i="6" s="1"/>
  <c r="K130" i="6" s="1"/>
  <c r="I130" i="6" s="1"/>
  <c r="G130" i="6" s="1"/>
  <c r="S103" i="6"/>
  <c r="Q103" i="6" s="1"/>
  <c r="O103" i="6" s="1"/>
  <c r="M103" i="6" s="1"/>
  <c r="K103" i="6" s="1"/>
  <c r="I103" i="6" s="1"/>
  <c r="G103" i="6" s="1"/>
  <c r="S80" i="6"/>
  <c r="Q80" i="6" s="1"/>
  <c r="O80" i="6" s="1"/>
  <c r="M80" i="6" s="1"/>
  <c r="K80" i="6" s="1"/>
  <c r="I80" i="6" s="1"/>
  <c r="G80" i="6" s="1"/>
  <c r="S37" i="6"/>
  <c r="Q37" i="6" s="1"/>
  <c r="O37" i="6" s="1"/>
  <c r="M37" i="6" s="1"/>
  <c r="K37" i="6" s="1"/>
  <c r="I37" i="6" s="1"/>
  <c r="G37" i="6" s="1"/>
  <c r="S90" i="6"/>
  <c r="Q90" i="6" s="1"/>
  <c r="O90" i="6" s="1"/>
  <c r="M90" i="6" s="1"/>
  <c r="K90" i="6" s="1"/>
  <c r="I90" i="6" s="1"/>
  <c r="G90" i="6" s="1"/>
  <c r="S139" i="6"/>
  <c r="Q139" i="6" s="1"/>
  <c r="O139" i="6" s="1"/>
  <c r="M139" i="6" s="1"/>
  <c r="K139" i="6" s="1"/>
  <c r="I139" i="6" s="1"/>
  <c r="G139" i="6" s="1"/>
  <c r="S104" i="6"/>
  <c r="Q104" i="6" s="1"/>
  <c r="O104" i="6" s="1"/>
  <c r="M104" i="6" s="1"/>
  <c r="K104" i="6" s="1"/>
  <c r="I104" i="6" s="1"/>
  <c r="G104" i="6" s="1"/>
  <c r="S96" i="6"/>
  <c r="Q96" i="6" s="1"/>
  <c r="O96" i="6" s="1"/>
  <c r="M96" i="6" s="1"/>
  <c r="K96" i="6" s="1"/>
  <c r="I96" i="6" s="1"/>
  <c r="G96" i="6" s="1"/>
  <c r="S46" i="6"/>
  <c r="Q46" i="6" s="1"/>
  <c r="O46" i="6" s="1"/>
  <c r="M46" i="6" s="1"/>
  <c r="K46" i="6" s="1"/>
  <c r="I46" i="6" s="1"/>
  <c r="G46" i="6" s="1"/>
  <c r="S108" i="6"/>
  <c r="Q108" i="6" s="1"/>
  <c r="O108" i="6" s="1"/>
  <c r="M108" i="6" s="1"/>
  <c r="K108" i="6" s="1"/>
  <c r="I108" i="6" s="1"/>
  <c r="G108" i="6" s="1"/>
  <c r="S22" i="6"/>
  <c r="Q22" i="6" s="1"/>
  <c r="O22" i="6" s="1"/>
  <c r="M22" i="6" s="1"/>
  <c r="K22" i="6" s="1"/>
  <c r="I22" i="6" s="1"/>
  <c r="G22" i="6" s="1"/>
  <c r="S21" i="6"/>
  <c r="Q21" i="6" s="1"/>
  <c r="O21" i="6" s="1"/>
  <c r="M21" i="6" s="1"/>
  <c r="K21" i="6" s="1"/>
  <c r="I21" i="6" s="1"/>
  <c r="G21" i="6" s="1"/>
  <c r="S75" i="6"/>
  <c r="Q75" i="6" s="1"/>
  <c r="O75" i="6" s="1"/>
  <c r="M75" i="6" s="1"/>
  <c r="K75" i="6" s="1"/>
  <c r="I75" i="6" s="1"/>
  <c r="G75" i="6" s="1"/>
  <c r="S121" i="6"/>
  <c r="Q121" i="6" s="1"/>
  <c r="O121" i="6" s="1"/>
  <c r="M121" i="6" s="1"/>
  <c r="K121" i="6" s="1"/>
  <c r="I121" i="6" s="1"/>
  <c r="G121" i="6" s="1"/>
  <c r="S97" i="6"/>
  <c r="Q97" i="6" s="1"/>
  <c r="O97" i="6" s="1"/>
  <c r="M97" i="6" s="1"/>
  <c r="K97" i="6" s="1"/>
  <c r="I97" i="6" s="1"/>
  <c r="G97" i="6" s="1"/>
  <c r="S136" i="6"/>
  <c r="Q136" i="6" s="1"/>
  <c r="O136" i="6" s="1"/>
  <c r="M136" i="6" s="1"/>
  <c r="K136" i="6" s="1"/>
  <c r="I136" i="6" s="1"/>
  <c r="G136" i="6" s="1"/>
  <c r="S40" i="6"/>
  <c r="Q40" i="6" s="1"/>
  <c r="O40" i="6" s="1"/>
  <c r="M40" i="6" s="1"/>
  <c r="K40" i="6" s="1"/>
  <c r="I40" i="6" s="1"/>
  <c r="G40" i="6" s="1"/>
  <c r="S133" i="6"/>
  <c r="Q133" i="6" s="1"/>
  <c r="O133" i="6" s="1"/>
  <c r="M133" i="6" s="1"/>
  <c r="K133" i="6" s="1"/>
  <c r="I133" i="6" s="1"/>
  <c r="G133" i="6" s="1"/>
  <c r="S100" i="6"/>
  <c r="Q100" i="6" s="1"/>
  <c r="O100" i="6" s="1"/>
  <c r="M100" i="6" s="1"/>
  <c r="K100" i="6" s="1"/>
  <c r="I100" i="6" s="1"/>
  <c r="G100" i="6" s="1"/>
  <c r="S74" i="6"/>
  <c r="Q74" i="6" s="1"/>
  <c r="O74" i="6" s="1"/>
  <c r="M74" i="6" s="1"/>
  <c r="K74" i="6" s="1"/>
  <c r="I74" i="6" s="1"/>
  <c r="G74" i="6" s="1"/>
  <c r="S119" i="6"/>
  <c r="Q119" i="6" s="1"/>
  <c r="O119" i="6" s="1"/>
  <c r="M119" i="6" s="1"/>
  <c r="K119" i="6" s="1"/>
  <c r="I119" i="6" s="1"/>
  <c r="G119" i="6" s="1"/>
  <c r="S34" i="6"/>
  <c r="Q34" i="6" s="1"/>
  <c r="O34" i="6" s="1"/>
  <c r="M34" i="6" s="1"/>
  <c r="K34" i="6" s="1"/>
  <c r="I34" i="6" s="1"/>
  <c r="G34" i="6" s="1"/>
  <c r="S57" i="6"/>
  <c r="Q57" i="6" s="1"/>
  <c r="O57" i="6" s="1"/>
  <c r="M57" i="6" s="1"/>
  <c r="K57" i="6" s="1"/>
  <c r="I57" i="6" s="1"/>
  <c r="G57" i="6" s="1"/>
  <c r="S70" i="6"/>
  <c r="Q70" i="6" s="1"/>
  <c r="O70" i="6" s="1"/>
  <c r="M70" i="6" s="1"/>
  <c r="K70" i="6" s="1"/>
  <c r="I70" i="6" s="1"/>
  <c r="G70" i="6" s="1"/>
  <c r="S142" i="6"/>
  <c r="Q142" i="6" s="1"/>
  <c r="O142" i="6" s="1"/>
  <c r="M142" i="6" s="1"/>
  <c r="K142" i="6" s="1"/>
  <c r="I142" i="6" s="1"/>
  <c r="G142" i="6" s="1"/>
  <c r="S114" i="6"/>
  <c r="Q114" i="6" s="1"/>
  <c r="O114" i="6" s="1"/>
  <c r="M114" i="6" s="1"/>
  <c r="K114" i="6" s="1"/>
  <c r="I114" i="6" s="1"/>
  <c r="G114" i="6" s="1"/>
  <c r="S126" i="6"/>
  <c r="Q126" i="6" s="1"/>
  <c r="O126" i="6" s="1"/>
  <c r="M126" i="6" s="1"/>
  <c r="K126" i="6" s="1"/>
  <c r="I126" i="6" s="1"/>
  <c r="G126" i="6" s="1"/>
  <c r="S92" i="6"/>
  <c r="Q92" i="6" s="1"/>
  <c r="O92" i="6" s="1"/>
  <c r="M92" i="6" s="1"/>
  <c r="K92" i="6" s="1"/>
  <c r="I92" i="6" s="1"/>
  <c r="G92" i="6" s="1"/>
  <c r="S132" i="6"/>
  <c r="Q132" i="6" s="1"/>
  <c r="O132" i="6" s="1"/>
  <c r="M132" i="6" s="1"/>
  <c r="K132" i="6" s="1"/>
  <c r="I132" i="6" s="1"/>
  <c r="G132" i="6" s="1"/>
  <c r="S123" i="6"/>
  <c r="Q123" i="6" s="1"/>
  <c r="O123" i="6" s="1"/>
  <c r="M123" i="6" s="1"/>
  <c r="K123" i="6" s="1"/>
  <c r="I123" i="6" s="1"/>
  <c r="G123" i="6" s="1"/>
  <c r="S63" i="6"/>
  <c r="Q63" i="6" s="1"/>
  <c r="O63" i="6" s="1"/>
  <c r="M63" i="6" s="1"/>
  <c r="K63" i="6" s="1"/>
  <c r="I63" i="6" s="1"/>
  <c r="G63" i="6" s="1"/>
  <c r="S89" i="6"/>
  <c r="Q89" i="6" s="1"/>
  <c r="O89" i="6" s="1"/>
  <c r="M89" i="6" s="1"/>
  <c r="K89" i="6" s="1"/>
  <c r="I89" i="6" s="1"/>
  <c r="G89" i="6" s="1"/>
  <c r="S67" i="6"/>
  <c r="Q67" i="6" s="1"/>
  <c r="O67" i="6" s="1"/>
  <c r="M67" i="6" s="1"/>
  <c r="K67" i="6" s="1"/>
  <c r="I67" i="6" s="1"/>
  <c r="G67" i="6" s="1"/>
  <c r="S112" i="6"/>
  <c r="Q112" i="6" s="1"/>
  <c r="O112" i="6" s="1"/>
  <c r="M112" i="6" s="1"/>
  <c r="K112" i="6" s="1"/>
  <c r="I112" i="6" s="1"/>
  <c r="G112" i="6" s="1"/>
  <c r="S12" i="6"/>
  <c r="Q12" i="6" s="1"/>
  <c r="O12" i="6" s="1"/>
  <c r="M12" i="6" s="1"/>
  <c r="K12" i="6" s="1"/>
  <c r="I12" i="6" s="1"/>
  <c r="G12" i="6" s="1"/>
  <c r="S38" i="6"/>
  <c r="Q38" i="6" s="1"/>
  <c r="O38" i="6" s="1"/>
  <c r="M38" i="6" s="1"/>
  <c r="K38" i="6" s="1"/>
  <c r="I38" i="6" s="1"/>
  <c r="G38" i="6" s="1"/>
  <c r="S144" i="6"/>
  <c r="Q144" i="6" s="1"/>
  <c r="O144" i="6" s="1"/>
  <c r="M144" i="6" s="1"/>
  <c r="K144" i="6" s="1"/>
  <c r="I144" i="6" s="1"/>
  <c r="G144" i="6" s="1"/>
  <c r="S69" i="6"/>
  <c r="Q69" i="6" s="1"/>
  <c r="O69" i="6" s="1"/>
  <c r="M69" i="6" s="1"/>
  <c r="K69" i="6" s="1"/>
  <c r="I69" i="6" s="1"/>
  <c r="G69" i="6" s="1"/>
  <c r="S117" i="6"/>
  <c r="Q117" i="6" s="1"/>
  <c r="O117" i="6" s="1"/>
  <c r="M117" i="6" s="1"/>
  <c r="K117" i="6" s="1"/>
  <c r="I117" i="6" s="1"/>
  <c r="G117" i="6" s="1"/>
  <c r="S78" i="6"/>
  <c r="Q78" i="6" s="1"/>
  <c r="O78" i="6" s="1"/>
  <c r="M78" i="6" s="1"/>
  <c r="K78" i="6" s="1"/>
  <c r="I78" i="6" s="1"/>
  <c r="G78" i="6" s="1"/>
  <c r="S99" i="6"/>
  <c r="Q99" i="6" s="1"/>
  <c r="O99" i="6" s="1"/>
  <c r="M99" i="6" s="1"/>
  <c r="K99" i="6" s="1"/>
  <c r="I99" i="6" s="1"/>
  <c r="G99" i="6" s="1"/>
  <c r="S106" i="6"/>
  <c r="Q106" i="6" s="1"/>
  <c r="O106" i="6" s="1"/>
  <c r="M106" i="6" s="1"/>
  <c r="K106" i="6" s="1"/>
  <c r="I106" i="6" s="1"/>
  <c r="G106" i="6" s="1"/>
  <c r="S36" i="6"/>
  <c r="Q36" i="6" s="1"/>
  <c r="O36" i="6" s="1"/>
  <c r="M36" i="6" s="1"/>
  <c r="K36" i="6" s="1"/>
  <c r="I36" i="6" s="1"/>
  <c r="G36" i="6" s="1"/>
  <c r="S68" i="6"/>
  <c r="Q68" i="6" s="1"/>
  <c r="O68" i="6" s="1"/>
  <c r="M68" i="6" s="1"/>
  <c r="K68" i="6" s="1"/>
  <c r="I68" i="6" s="1"/>
  <c r="G68" i="6" s="1"/>
  <c r="S60" i="6"/>
  <c r="Q60" i="6" s="1"/>
  <c r="O60" i="6" s="1"/>
  <c r="M60" i="6" s="1"/>
  <c r="K60" i="6" s="1"/>
  <c r="I60" i="6" s="1"/>
  <c r="G60" i="6" s="1"/>
  <c r="S102" i="6"/>
  <c r="Q102" i="6" s="1"/>
  <c r="O102" i="6" s="1"/>
  <c r="M102" i="6" s="1"/>
  <c r="K102" i="6" s="1"/>
  <c r="I102" i="6" s="1"/>
  <c r="G102" i="6" s="1"/>
  <c r="F134" i="6"/>
  <c r="F138" i="6"/>
  <c r="C133" i="6"/>
  <c r="F140" i="6"/>
  <c r="E146" i="6"/>
  <c r="E145" i="6"/>
  <c r="C134" i="6"/>
  <c r="F137" i="6"/>
  <c r="C135" i="6"/>
  <c r="C136" i="6"/>
  <c r="C137" i="6"/>
  <c r="C139" i="6"/>
  <c r="C140" i="6"/>
  <c r="C138" i="6"/>
  <c r="C141" i="6"/>
  <c r="C142" i="6"/>
  <c r="C143" i="6"/>
  <c r="C144" i="6"/>
  <c r="E136" i="6"/>
  <c r="E133" i="6"/>
  <c r="E140" i="6"/>
  <c r="C145" i="6"/>
  <c r="E135" i="6"/>
  <c r="E137" i="6"/>
  <c r="E138" i="6"/>
  <c r="E139" i="6"/>
  <c r="E144" i="6"/>
  <c r="C146" i="6"/>
  <c r="E134" i="6"/>
  <c r="E141" i="6"/>
  <c r="E142" i="6"/>
  <c r="E143" i="6"/>
  <c r="F136" i="6"/>
  <c r="F133" i="6"/>
  <c r="F142" i="6"/>
  <c r="F135" i="6"/>
  <c r="F144" i="6"/>
  <c r="F139" i="6"/>
  <c r="F141" i="6"/>
  <c r="F143" i="6"/>
  <c r="F145" i="6"/>
  <c r="F146" i="6"/>
  <c r="C96" i="6"/>
  <c r="E103" i="6"/>
  <c r="C102" i="6"/>
  <c r="F95" i="6"/>
  <c r="F122" i="6"/>
  <c r="C100" i="6"/>
  <c r="E111" i="6"/>
  <c r="F116" i="6"/>
  <c r="F99" i="6"/>
  <c r="F103" i="6"/>
  <c r="C106" i="6"/>
  <c r="F107" i="6"/>
  <c r="E115" i="6"/>
  <c r="C104" i="6"/>
  <c r="E113" i="6"/>
  <c r="E119" i="6"/>
  <c r="C98" i="6"/>
  <c r="F109" i="6"/>
  <c r="E117" i="6"/>
  <c r="E100" i="6"/>
  <c r="C108" i="6"/>
  <c r="E121" i="6"/>
  <c r="E97" i="6"/>
  <c r="E95" i="6"/>
  <c r="E101" i="6"/>
  <c r="E99" i="6"/>
  <c r="E105" i="6"/>
  <c r="E107" i="6"/>
  <c r="F112" i="6"/>
  <c r="C111" i="6"/>
  <c r="E98" i="6"/>
  <c r="E102" i="6"/>
  <c r="E106" i="6"/>
  <c r="F113" i="6"/>
  <c r="F117" i="6"/>
  <c r="F121" i="6"/>
  <c r="F102" i="6"/>
  <c r="F106" i="6"/>
  <c r="E94" i="6"/>
  <c r="F94" i="6"/>
  <c r="F98" i="6"/>
  <c r="C95" i="6"/>
  <c r="C99" i="6"/>
  <c r="C103" i="6"/>
  <c r="C107" i="6"/>
  <c r="F111" i="6"/>
  <c r="C112" i="6"/>
  <c r="C97" i="6"/>
  <c r="E116" i="6"/>
  <c r="C117" i="6"/>
  <c r="C118" i="6"/>
  <c r="E114" i="6"/>
  <c r="F115" i="6"/>
  <c r="F100" i="6"/>
  <c r="C116" i="6"/>
  <c r="C105" i="6"/>
  <c r="C110" i="6"/>
  <c r="E104" i="6"/>
  <c r="F119" i="6"/>
  <c r="F108" i="6"/>
  <c r="C101" i="6"/>
  <c r="E112" i="6"/>
  <c r="C121" i="6"/>
  <c r="C114" i="6"/>
  <c r="E118" i="6"/>
  <c r="E108" i="6"/>
  <c r="F104" i="6"/>
  <c r="C120" i="6"/>
  <c r="E120" i="6"/>
  <c r="C113" i="6"/>
  <c r="C122" i="6"/>
  <c r="E122" i="6"/>
  <c r="E96" i="6"/>
  <c r="F96" i="6"/>
  <c r="E109" i="6"/>
  <c r="F97" i="6"/>
  <c r="F101" i="6"/>
  <c r="F105" i="6"/>
  <c r="C109" i="6"/>
  <c r="E110" i="6"/>
  <c r="F110" i="6"/>
  <c r="F114" i="6"/>
  <c r="C115" i="6"/>
  <c r="F120" i="6"/>
  <c r="F118" i="6"/>
  <c r="C119" i="6"/>
  <c r="C94" i="6"/>
  <c r="C131" i="6"/>
  <c r="C123" i="6"/>
  <c r="F130" i="6"/>
  <c r="E91" i="6"/>
  <c r="E123" i="6"/>
  <c r="F90" i="6"/>
  <c r="C130" i="6"/>
  <c r="F126" i="6"/>
  <c r="F91" i="6"/>
  <c r="C91" i="6"/>
  <c r="F123" i="6"/>
  <c r="E90" i="6"/>
  <c r="C127" i="6"/>
  <c r="E126" i="6"/>
  <c r="F132" i="6"/>
  <c r="F93" i="6"/>
  <c r="F125" i="6"/>
  <c r="E130" i="6"/>
  <c r="F131" i="6"/>
  <c r="C128" i="6"/>
  <c r="C125" i="6"/>
  <c r="E132" i="6"/>
  <c r="E129" i="6"/>
  <c r="E131" i="6"/>
  <c r="F124" i="6"/>
  <c r="C129" i="6"/>
  <c r="E127" i="6"/>
  <c r="F92" i="6"/>
  <c r="E93" i="6"/>
  <c r="E125" i="6"/>
  <c r="C92" i="6"/>
  <c r="C124" i="6"/>
  <c r="F127" i="6"/>
  <c r="C132" i="6"/>
  <c r="E128" i="6"/>
  <c r="F128" i="6"/>
  <c r="E92" i="6"/>
  <c r="E124" i="6"/>
  <c r="C93" i="6"/>
  <c r="C126" i="6"/>
  <c r="F129" i="6"/>
  <c r="C90" i="6"/>
  <c r="F37" i="6"/>
  <c r="F13" i="6"/>
  <c r="F27" i="6"/>
  <c r="F5" i="6"/>
  <c r="E6" i="6"/>
  <c r="E35" i="6"/>
  <c r="E14" i="6"/>
  <c r="F30" i="6"/>
  <c r="F31" i="6"/>
  <c r="F16" i="6"/>
  <c r="E40" i="6"/>
  <c r="E12" i="6"/>
  <c r="F17" i="6"/>
  <c r="E36" i="6"/>
  <c r="F22" i="6"/>
  <c r="F8" i="6"/>
  <c r="E32" i="6"/>
  <c r="E42" i="6"/>
  <c r="F23" i="6"/>
  <c r="E33" i="6"/>
  <c r="E18" i="6"/>
  <c r="E41" i="6"/>
  <c r="F39" i="6"/>
  <c r="F33" i="6"/>
  <c r="F11" i="6"/>
  <c r="F19" i="6"/>
  <c r="F28" i="6"/>
  <c r="F24" i="6"/>
  <c r="F26" i="6"/>
  <c r="E21" i="6"/>
  <c r="F32" i="6"/>
  <c r="F18" i="6"/>
  <c r="F34" i="6"/>
  <c r="F38" i="6"/>
  <c r="E29" i="6"/>
  <c r="E8" i="6"/>
  <c r="F40" i="6"/>
  <c r="E10" i="6"/>
  <c r="F42" i="6"/>
  <c r="F25" i="6"/>
  <c r="F6" i="6"/>
  <c r="E16" i="6"/>
  <c r="F41" i="6"/>
  <c r="F36" i="6"/>
  <c r="E20" i="6"/>
  <c r="F14" i="6"/>
  <c r="E23" i="6"/>
  <c r="F12" i="6"/>
  <c r="F10" i="6"/>
  <c r="E27" i="6"/>
  <c r="F35" i="6"/>
  <c r="F29" i="6"/>
  <c r="E43" i="6"/>
  <c r="E39" i="6"/>
  <c r="E30" i="6"/>
  <c r="E11" i="6"/>
  <c r="F43" i="6"/>
  <c r="E31" i="6"/>
  <c r="E15" i="6"/>
  <c r="E13" i="6"/>
  <c r="E25" i="6"/>
  <c r="E37" i="6"/>
  <c r="F7" i="6"/>
  <c r="F20" i="6"/>
  <c r="E17" i="6"/>
  <c r="E26" i="6"/>
  <c r="E38" i="6"/>
  <c r="E7" i="6"/>
  <c r="E22" i="6"/>
  <c r="E19" i="6"/>
  <c r="E28" i="6"/>
  <c r="F15" i="6"/>
  <c r="F21" i="6"/>
  <c r="E24" i="6"/>
  <c r="E34" i="6"/>
  <c r="E5" i="6"/>
  <c r="E44" i="6"/>
  <c r="E52" i="6"/>
  <c r="E60" i="6"/>
  <c r="E68" i="6"/>
  <c r="E76" i="6"/>
  <c r="E84" i="6"/>
  <c r="F44" i="6"/>
  <c r="F52" i="6"/>
  <c r="F68" i="6"/>
  <c r="F76" i="6"/>
  <c r="F84" i="6"/>
  <c r="E53" i="6"/>
  <c r="E77" i="6"/>
  <c r="E85" i="6"/>
  <c r="F61" i="6"/>
  <c r="E70" i="6"/>
  <c r="E78" i="6"/>
  <c r="E86" i="6"/>
  <c r="F60" i="6"/>
  <c r="E69" i="6"/>
  <c r="F85" i="6"/>
  <c r="E45" i="6"/>
  <c r="E61" i="6"/>
  <c r="F77" i="6"/>
  <c r="F45" i="6"/>
  <c r="F53" i="6"/>
  <c r="F69" i="6"/>
  <c r="E46" i="6"/>
  <c r="E54" i="6"/>
  <c r="E62" i="6"/>
  <c r="F46" i="6"/>
  <c r="F54" i="6"/>
  <c r="F62" i="6"/>
  <c r="F70" i="6"/>
  <c r="F78" i="6"/>
  <c r="F86" i="6"/>
  <c r="E75" i="6"/>
  <c r="E47" i="6"/>
  <c r="E55" i="6"/>
  <c r="E63" i="6"/>
  <c r="E71" i="6"/>
  <c r="E79" i="6"/>
  <c r="E87" i="6"/>
  <c r="E56" i="6"/>
  <c r="E72" i="6"/>
  <c r="E88" i="6"/>
  <c r="F72" i="6"/>
  <c r="F88" i="6"/>
  <c r="E73" i="6"/>
  <c r="E89" i="6"/>
  <c r="F81" i="6"/>
  <c r="E82" i="6"/>
  <c r="F66" i="6"/>
  <c r="E51" i="6"/>
  <c r="F47" i="6"/>
  <c r="F55" i="6"/>
  <c r="F63" i="6"/>
  <c r="F71" i="6"/>
  <c r="F79" i="6"/>
  <c r="F87" i="6"/>
  <c r="E48" i="6"/>
  <c r="E80" i="6"/>
  <c r="F48" i="6"/>
  <c r="F80" i="6"/>
  <c r="E57" i="6"/>
  <c r="E81" i="6"/>
  <c r="F65" i="6"/>
  <c r="F89" i="6"/>
  <c r="F74" i="6"/>
  <c r="E67" i="6"/>
  <c r="E64" i="6"/>
  <c r="F56" i="6"/>
  <c r="E65" i="6"/>
  <c r="E58" i="6"/>
  <c r="E83" i="6"/>
  <c r="F64" i="6"/>
  <c r="F57" i="6"/>
  <c r="F82" i="6"/>
  <c r="E49" i="6"/>
  <c r="F73" i="6"/>
  <c r="F49" i="6"/>
  <c r="E66" i="6"/>
  <c r="E59" i="6"/>
  <c r="E50" i="6"/>
  <c r="E74" i="6"/>
  <c r="F50" i="6"/>
  <c r="F58" i="6"/>
  <c r="F51" i="6"/>
  <c r="F59" i="6"/>
  <c r="F67" i="6"/>
  <c r="F75" i="6"/>
  <c r="F83" i="6"/>
  <c r="C13" i="6"/>
  <c r="C69" i="6"/>
  <c r="C8" i="6"/>
  <c r="C76" i="6"/>
  <c r="C21" i="6"/>
  <c r="C44" i="6"/>
  <c r="C5" i="6"/>
  <c r="C68" i="6"/>
  <c r="C6" i="6"/>
  <c r="C45" i="6"/>
  <c r="C28" i="6"/>
  <c r="C77" i="6"/>
  <c r="C16" i="6"/>
  <c r="C23" i="6"/>
  <c r="C29" i="6"/>
  <c r="C52" i="6"/>
  <c r="C84" i="6"/>
  <c r="C53" i="6"/>
  <c r="C85" i="6"/>
  <c r="C14" i="6"/>
  <c r="C36" i="6"/>
  <c r="C60" i="6"/>
  <c r="C79" i="6"/>
  <c r="C37" i="6"/>
  <c r="C61" i="6"/>
  <c r="C7" i="6"/>
  <c r="C15" i="6"/>
  <c r="C22" i="6"/>
  <c r="C30" i="6"/>
  <c r="C38" i="6"/>
  <c r="C46" i="6"/>
  <c r="C54" i="6"/>
  <c r="C62" i="6"/>
  <c r="C70" i="6"/>
  <c r="C78" i="6"/>
  <c r="C86" i="6"/>
  <c r="C47" i="6"/>
  <c r="C63" i="6"/>
  <c r="C87" i="6"/>
  <c r="C17" i="6"/>
  <c r="C24" i="6"/>
  <c r="C32" i="6"/>
  <c r="C40" i="6"/>
  <c r="C48" i="6"/>
  <c r="C56" i="6"/>
  <c r="C64" i="6"/>
  <c r="C72" i="6"/>
  <c r="C80" i="6"/>
  <c r="C88" i="6"/>
  <c r="C10" i="6"/>
  <c r="C18" i="6"/>
  <c r="C25" i="6"/>
  <c r="C33" i="6"/>
  <c r="C41" i="6"/>
  <c r="C49" i="6"/>
  <c r="C57" i="6"/>
  <c r="C65" i="6"/>
  <c r="C73" i="6"/>
  <c r="C81" i="6"/>
  <c r="C89" i="6"/>
  <c r="C39" i="6"/>
  <c r="C55" i="6"/>
  <c r="C31" i="6"/>
  <c r="C71" i="6"/>
  <c r="C11" i="6"/>
  <c r="C19" i="6"/>
  <c r="C26" i="6"/>
  <c r="C34" i="6"/>
  <c r="C42" i="6"/>
  <c r="C50" i="6"/>
  <c r="C58" i="6"/>
  <c r="C66" i="6"/>
  <c r="C74" i="6"/>
  <c r="C82" i="6"/>
  <c r="C12" i="6"/>
  <c r="C20" i="6"/>
  <c r="C27" i="6"/>
  <c r="C35" i="6"/>
  <c r="C43" i="6"/>
  <c r="C51" i="6"/>
  <c r="C59" i="6"/>
  <c r="C67" i="6"/>
  <c r="C75" i="6"/>
  <c r="C83" i="6"/>
  <c r="F106" i="9" l="1"/>
  <c r="C106" i="9"/>
  <c r="E106" i="9"/>
  <c r="C55" i="9"/>
  <c r="E55" i="9"/>
  <c r="F55" i="9"/>
  <c r="F50" i="9"/>
  <c r="C50" i="9"/>
  <c r="E50" i="9"/>
  <c r="C66" i="9"/>
  <c r="F66" i="9"/>
  <c r="E66" i="9"/>
  <c r="E5" i="9"/>
  <c r="F5" i="9"/>
  <c r="C5" i="9"/>
  <c r="E101" i="9"/>
  <c r="F101" i="9"/>
  <c r="C101" i="9"/>
  <c r="F11" i="9"/>
  <c r="E11" i="9"/>
  <c r="C11" i="9"/>
  <c r="C109" i="9"/>
  <c r="F109" i="9"/>
  <c r="E109" i="9"/>
  <c r="C78" i="9"/>
  <c r="E78" i="9"/>
  <c r="F78" i="9"/>
  <c r="E46" i="9"/>
  <c r="C46" i="9"/>
  <c r="F46" i="9"/>
  <c r="F116" i="9"/>
  <c r="E116" i="9"/>
  <c r="C116" i="9"/>
  <c r="C32" i="9"/>
  <c r="F32" i="9"/>
  <c r="E32" i="9"/>
  <c r="C33" i="9"/>
  <c r="E33" i="9"/>
  <c r="F33" i="9"/>
  <c r="C87" i="9"/>
  <c r="E87" i="9"/>
  <c r="F87" i="9"/>
  <c r="F56" i="9"/>
  <c r="C56" i="9"/>
  <c r="E56" i="9"/>
  <c r="E10" i="9"/>
  <c r="F10" i="9"/>
  <c r="C10" i="9"/>
  <c r="C19" i="9"/>
  <c r="E19" i="9"/>
  <c r="F19" i="9"/>
  <c r="E104" i="9"/>
  <c r="C104" i="9"/>
  <c r="F104" i="9"/>
  <c r="F117" i="9"/>
  <c r="C117" i="9"/>
  <c r="E117" i="9"/>
  <c r="E59" i="9"/>
  <c r="F59" i="9"/>
  <c r="C59" i="9"/>
  <c r="C47" i="9"/>
  <c r="E47" i="9"/>
  <c r="F47" i="9"/>
  <c r="C94" i="9"/>
  <c r="F94" i="9"/>
  <c r="E94" i="9"/>
  <c r="C62" i="9"/>
  <c r="F62" i="9"/>
  <c r="E62" i="9"/>
  <c r="E67" i="9"/>
  <c r="C67" i="9"/>
  <c r="F67" i="9"/>
  <c r="C70" i="9"/>
  <c r="E70" i="9"/>
  <c r="F70" i="9"/>
  <c r="C48" i="9"/>
  <c r="E48" i="9"/>
  <c r="F48" i="9"/>
  <c r="C49" i="9"/>
  <c r="F49" i="9"/>
  <c r="E49" i="9"/>
  <c r="F72" i="9"/>
  <c r="C72" i="9"/>
  <c r="E72" i="9"/>
  <c r="C9" i="6"/>
  <c r="S9" i="6"/>
  <c r="Q9" i="6" s="1"/>
  <c r="O9" i="6" s="1"/>
  <c r="M9" i="6" s="1"/>
  <c r="K9" i="6" s="1"/>
  <c r="I9" i="6" s="1"/>
  <c r="G9" i="6" s="1"/>
  <c r="F9" i="6"/>
  <c r="E9" i="6"/>
  <c r="F54" i="9"/>
  <c r="E54" i="9"/>
  <c r="C54" i="9"/>
  <c r="E86" i="9"/>
  <c r="F86" i="9"/>
  <c r="C86" i="9"/>
  <c r="C77" i="9"/>
  <c r="E77" i="9"/>
  <c r="F77" i="9"/>
  <c r="F9" i="9"/>
  <c r="C9" i="9"/>
  <c r="E9" i="9"/>
  <c r="C26" i="9"/>
  <c r="E26" i="9"/>
  <c r="F26" i="9"/>
  <c r="E92" i="9"/>
  <c r="F92" i="9"/>
  <c r="C92" i="9"/>
  <c r="E108" i="9"/>
  <c r="F108" i="9"/>
  <c r="C108" i="9"/>
  <c r="F12" i="9"/>
  <c r="E12" i="9"/>
  <c r="C12" i="9"/>
  <c r="C112" i="9"/>
  <c r="E112" i="9"/>
  <c r="F112" i="9"/>
  <c r="C110" i="9"/>
  <c r="E110" i="9"/>
  <c r="F110" i="9"/>
  <c r="F79" i="9"/>
  <c r="E79" i="9"/>
  <c r="C79" i="9"/>
  <c r="F64" i="9"/>
  <c r="C64" i="9"/>
  <c r="E64" i="9"/>
  <c r="E65" i="9"/>
  <c r="C65" i="9"/>
  <c r="F65" i="9"/>
  <c r="F83" i="9"/>
  <c r="E83" i="9"/>
  <c r="C83" i="9"/>
  <c r="F89" i="9"/>
  <c r="C89" i="9"/>
  <c r="E89" i="9"/>
  <c r="E25" i="9"/>
  <c r="C25" i="9"/>
  <c r="F25" i="9"/>
  <c r="C103" i="9"/>
  <c r="E103" i="9"/>
  <c r="F103" i="9"/>
  <c r="F20" i="9"/>
  <c r="C20" i="9"/>
  <c r="E20" i="9"/>
  <c r="C118" i="9"/>
  <c r="E118" i="9"/>
  <c r="F118" i="9"/>
  <c r="F21" i="9"/>
  <c r="C21" i="9"/>
  <c r="E21" i="9"/>
  <c r="C42" i="9"/>
  <c r="F42" i="9"/>
  <c r="E42" i="9"/>
  <c r="F28" i="9"/>
  <c r="E28" i="9"/>
  <c r="C28" i="9"/>
  <c r="E15" i="9"/>
  <c r="C15" i="9"/>
  <c r="F15" i="9"/>
  <c r="C95" i="9"/>
  <c r="E95" i="9"/>
  <c r="F95" i="9"/>
  <c r="E81" i="9"/>
  <c r="C81" i="9"/>
  <c r="F81" i="9"/>
  <c r="C82" i="9"/>
  <c r="F82" i="9"/>
  <c r="E82" i="9"/>
  <c r="E105" i="9"/>
  <c r="C105" i="9"/>
  <c r="F105" i="9"/>
  <c r="F41" i="9"/>
  <c r="E41" i="9"/>
  <c r="C41" i="9"/>
  <c r="C38" i="9"/>
  <c r="E38" i="9"/>
  <c r="F38" i="9"/>
  <c r="E99" i="9"/>
  <c r="C99" i="9"/>
  <c r="F99" i="9"/>
  <c r="E39" i="9"/>
  <c r="F39" i="9"/>
  <c r="C39" i="9"/>
  <c r="F88" i="9"/>
  <c r="C88" i="9"/>
  <c r="E88" i="9"/>
  <c r="F36" i="9"/>
  <c r="E36" i="9"/>
  <c r="C37" i="9"/>
  <c r="E37" i="9"/>
  <c r="F37" i="9"/>
  <c r="C58" i="9"/>
  <c r="F58" i="9"/>
  <c r="E58" i="9"/>
  <c r="F44" i="9"/>
  <c r="C44" i="9"/>
  <c r="E44" i="9"/>
  <c r="F13" i="9"/>
  <c r="C13" i="9"/>
  <c r="E13" i="9"/>
  <c r="F80" i="9"/>
  <c r="E80" i="9"/>
  <c r="C80" i="9"/>
  <c r="C111" i="9"/>
  <c r="E111" i="9"/>
  <c r="F111" i="9"/>
  <c r="E97" i="9"/>
  <c r="C97" i="9"/>
  <c r="F97" i="9"/>
  <c r="C98" i="9"/>
  <c r="E98" i="9"/>
  <c r="F98" i="9"/>
  <c r="F7" i="9"/>
  <c r="E7" i="9"/>
  <c r="C7" i="9"/>
  <c r="F43" i="9"/>
  <c r="C43" i="9"/>
  <c r="E43" i="9"/>
  <c r="C57" i="9"/>
  <c r="F57" i="9"/>
  <c r="E57" i="9"/>
  <c r="F52" i="9"/>
  <c r="E52" i="9"/>
  <c r="C52" i="9"/>
  <c r="C53" i="9"/>
  <c r="F53" i="9"/>
  <c r="E53" i="9"/>
  <c r="C74" i="9"/>
  <c r="E74" i="9"/>
  <c r="F74" i="9"/>
  <c r="E23" i="9"/>
  <c r="F23" i="9"/>
  <c r="C23" i="9"/>
  <c r="F60" i="9"/>
  <c r="C60" i="9"/>
  <c r="E60" i="9"/>
  <c r="F100" i="9"/>
  <c r="C100" i="9"/>
  <c r="E100" i="9"/>
  <c r="E29" i="9"/>
  <c r="C29" i="9"/>
  <c r="F29" i="9"/>
  <c r="F96" i="9"/>
  <c r="E96" i="9"/>
  <c r="C96" i="9"/>
  <c r="E113" i="9"/>
  <c r="F113" i="9"/>
  <c r="C113" i="9"/>
  <c r="F8" i="9"/>
  <c r="C8" i="9"/>
  <c r="E8" i="9"/>
  <c r="E75" i="9"/>
  <c r="C75" i="9"/>
  <c r="F75" i="9"/>
  <c r="E73" i="9"/>
  <c r="F73" i="9"/>
  <c r="C73" i="9"/>
  <c r="C34" i="9"/>
  <c r="F34" i="9"/>
  <c r="E34" i="9"/>
  <c r="C84" i="9"/>
  <c r="F84" i="9"/>
  <c r="E84" i="9"/>
  <c r="F68" i="9"/>
  <c r="C68" i="9"/>
  <c r="E68" i="9"/>
  <c r="F69" i="9"/>
  <c r="C69" i="9"/>
  <c r="E69" i="9"/>
  <c r="C91" i="9"/>
  <c r="E91" i="9"/>
  <c r="F91" i="9"/>
  <c r="C27" i="9"/>
  <c r="F27" i="9"/>
  <c r="E27" i="9"/>
  <c r="E76" i="9"/>
  <c r="F76" i="9"/>
  <c r="C76" i="9"/>
  <c r="C45" i="9"/>
  <c r="F45" i="9"/>
  <c r="E45" i="9"/>
  <c r="F18" i="9"/>
  <c r="C18" i="9"/>
  <c r="E18" i="9"/>
  <c r="F14" i="9"/>
  <c r="E14" i="9"/>
  <c r="C14" i="9"/>
  <c r="F63" i="9"/>
  <c r="C63" i="9"/>
  <c r="E63" i="9"/>
  <c r="C31" i="9"/>
  <c r="F31" i="9"/>
  <c r="E31" i="9"/>
  <c r="F114" i="9"/>
  <c r="C114" i="9"/>
  <c r="E114" i="9"/>
  <c r="E24" i="9"/>
  <c r="F24" i="9"/>
  <c r="C24" i="9"/>
  <c r="F90" i="9"/>
  <c r="C90" i="9"/>
  <c r="E90" i="9"/>
  <c r="C6" i="9"/>
  <c r="E6" i="9"/>
  <c r="F6" i="9"/>
  <c r="E51" i="9"/>
  <c r="F51" i="9"/>
  <c r="C51" i="9"/>
  <c r="F71" i="9"/>
  <c r="E71" i="9"/>
  <c r="C71" i="9"/>
  <c r="C85" i="9"/>
  <c r="F85" i="9"/>
  <c r="E85" i="9"/>
  <c r="F102" i="9"/>
  <c r="E102" i="9"/>
  <c r="C102" i="9"/>
  <c r="C22" i="9"/>
  <c r="E22" i="9"/>
  <c r="F22" i="9"/>
  <c r="E107" i="9"/>
  <c r="C107" i="9"/>
  <c r="F107" i="9"/>
  <c r="E93" i="9"/>
  <c r="C93" i="9"/>
  <c r="F93" i="9"/>
  <c r="C61" i="9"/>
  <c r="F61" i="9"/>
  <c r="E61" i="9"/>
  <c r="F35" i="9"/>
  <c r="C35" i="9"/>
  <c r="E35" i="9"/>
  <c r="C30" i="9"/>
  <c r="F30" i="9"/>
  <c r="E30" i="9"/>
  <c r="E115" i="9"/>
  <c r="F115" i="9"/>
  <c r="C115" i="9"/>
  <c r="F16" i="9"/>
  <c r="E16" i="9"/>
  <c r="C16" i="9"/>
  <c r="F17" i="9"/>
  <c r="E17" i="9"/>
  <c r="C17" i="9"/>
  <c r="C40" i="9"/>
  <c r="F40" i="9"/>
  <c r="E4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Furkan DEDEOĞLU</author>
  </authors>
  <commentList>
    <comment ref="O2" authorId="0" shapeId="0" xr:uid="{5C1BB308-50C4-4765-AAF8-48C127CD628F}">
      <text>
        <r>
          <rPr>
            <b/>
            <sz val="9"/>
            <color indexed="81"/>
            <rFont val="Tahoma"/>
            <family val="2"/>
            <charset val="162"/>
          </rPr>
          <t>Furkan DEDEOĞLU:</t>
        </r>
        <r>
          <rPr>
            <sz val="9"/>
            <color indexed="81"/>
            <rFont val="Tahoma"/>
            <family val="2"/>
            <charset val="162"/>
          </rPr>
          <t xml:space="preserve">
Sözleşme yapılırken firmanın proje onay+ kick off + numune onay sürecini tanımlamaktadır.</t>
        </r>
      </text>
    </comment>
    <comment ref="P2" authorId="0" shapeId="0" xr:uid="{45D1F999-DB2A-4A35-B946-94E6ED0D3117}">
      <text>
        <r>
          <rPr>
            <b/>
            <sz val="9"/>
            <color indexed="81"/>
            <rFont val="Tahoma"/>
            <family val="2"/>
            <charset val="162"/>
          </rPr>
          <t>Furkan DEDEOĞLU:</t>
        </r>
        <r>
          <rPr>
            <sz val="9"/>
            <color indexed="81"/>
            <rFont val="Tahoma"/>
            <family val="2"/>
            <charset val="162"/>
          </rPr>
          <t xml:space="preserve">
Proje onayı sonrası üretim süresi + malzemelerin termini ve/veya mobilizasyon süreçleridir</t>
        </r>
      </text>
    </comment>
  </commentList>
</comments>
</file>

<file path=xl/sharedStrings.xml><?xml version="1.0" encoding="utf-8"?>
<sst xmlns="http://schemas.openxmlformats.org/spreadsheetml/2006/main" count="858" uniqueCount="360">
  <si>
    <t>NOT</t>
  </si>
  <si>
    <t>İHALE NO</t>
  </si>
  <si>
    <t>İHALE KARAR SÜRESİ</t>
  </si>
  <si>
    <t>FİRMA ADI</t>
  </si>
  <si>
    <t>3025 - ORION</t>
  </si>
  <si>
    <t>3028 - MONA</t>
  </si>
  <si>
    <t>3036 - DİKİLİ ARSA</t>
  </si>
  <si>
    <t>3026 - ORION II</t>
  </si>
  <si>
    <t>İHALE
SÜRESİ</t>
  </si>
  <si>
    <t>DİZAYN PROJE YAYINLAMA SÜRESİ</t>
  </si>
  <si>
    <t>13.02.00 ÇELİK KONSTRÜKSİYON</t>
  </si>
  <si>
    <t>15.01.00 GAZBETON DUVAR</t>
  </si>
  <si>
    <t>25.01.00 MUTFAK DOLABI</t>
  </si>
  <si>
    <t>15.10.00 ALÜMİNYUM KORKULUK</t>
  </si>
  <si>
    <t>15.06.02 LAMİNE PARKE</t>
  </si>
  <si>
    <t>19.03.01 DOĞALTAŞ CEPHE KAPLAMA İŞLERİ</t>
  </si>
  <si>
    <t>21.01.00 ÇELİK KAPI</t>
  </si>
  <si>
    <t>21.02.00 YANGIN KAPISI &amp; ŞAFT KAPAĞI</t>
  </si>
  <si>
    <t>25.02.00 SABİT MOBİLYA</t>
  </si>
  <si>
    <t>15.11.02 PORSELEN TEZGAH</t>
  </si>
  <si>
    <t>15.03.00 ŞAP İŞLERİ</t>
  </si>
  <si>
    <t>15.06.00 SERAMİK İŞLERİ</t>
  </si>
  <si>
    <t>15.02.00 ALÇI LEVHA, SIVA &amp; BOYA İŞLERİ</t>
  </si>
  <si>
    <t>19.02.00 ALÜMİNYUM DOĞRAMA VE CEPHE KAPLAMA</t>
  </si>
  <si>
    <t>23.01.02 BALKON &amp; TERAS YALITIM</t>
  </si>
  <si>
    <t>15.13.00 DİLATASYON PROFİL İŞLERİ</t>
  </si>
  <si>
    <t>15.14.00 DUŞKABİN İŞLERİ</t>
  </si>
  <si>
    <t>17.01.00 SAUNA &amp; BUHAR ODASI İŞLERİ</t>
  </si>
  <si>
    <t>15.16.00 DAİRE İÇİ TEMİZLİK</t>
  </si>
  <si>
    <t>15.06.03 LAMİNANT PARKE</t>
  </si>
  <si>
    <t>29.03.00 SERT PEYZAJ İŞLERİ</t>
  </si>
  <si>
    <t>27.00.00 ATIKSU &amp; YAĞMUR SUYU ALTYAPI İŞLERİ</t>
  </si>
  <si>
    <t>21.05.00 SOSYAL TESİS CAM BÖLME İŞLERİ</t>
  </si>
  <si>
    <t>PROJE ADI</t>
  </si>
  <si>
    <t>SIRA NO</t>
  </si>
  <si>
    <t>01.17.00 HİDROLİK DAĞITICI &amp; SABİT POMPA</t>
  </si>
  <si>
    <t>01.17.01 KULE VİNÇ KİRALAMA &amp; SERVİS</t>
  </si>
  <si>
    <t>01.17.02 PERSONEL ASANSÖRÜ</t>
  </si>
  <si>
    <t>01.17.04 MOBİL VİNÇ TEMİNİ</t>
  </si>
  <si>
    <t>01.18.00 OSGB İŞLERİ</t>
  </si>
  <si>
    <t>01.19.00 RÜZGAR PERDESİ KALIP KİRALAMA</t>
  </si>
  <si>
    <t>09.02.00 HAFRİYAT</t>
  </si>
  <si>
    <t>11.00.00 KAZIK BAŞI KIRIM İŞLERİ</t>
  </si>
  <si>
    <t>11.01.00 İKSA İŞLERİ</t>
  </si>
  <si>
    <t>11.02.00 ZEMİN İYİLEŞTİRME</t>
  </si>
  <si>
    <t>13.01.00 KABA YAPI İŞLERİ</t>
  </si>
  <si>
    <t>13.02.01 ÇELİK ANKRAJ PLAKA İŞLERİ</t>
  </si>
  <si>
    <t>15.01.01 TUĞLA DUVAR İŞLERİ</t>
  </si>
  <si>
    <t>15.06.01 PREKAST ZEMİN KAPLAMA</t>
  </si>
  <si>
    <t>15.06.04 DOĞALTAŞ ZEMİN KAPLAMA İŞLERİ</t>
  </si>
  <si>
    <t>15.11.00 AKRİLİK TEZGAH</t>
  </si>
  <si>
    <t>15.11.01 KUVARS TEZGAH</t>
  </si>
  <si>
    <t>15.15.00 BİNA YÖNLENDİRME</t>
  </si>
  <si>
    <t>15.15.01 CEPHE LOGO</t>
  </si>
  <si>
    <t>15.15.02 RCS ÜZERİ LOGO İŞLERİ</t>
  </si>
  <si>
    <t>15.15.03 TRAFİK YÖNLENDİRME İŞLERİ</t>
  </si>
  <si>
    <t>15.16.01 CEPHE TEMİZLİK İŞLERİ</t>
  </si>
  <si>
    <t>17.08.00 OTOPARK SİLİM İŞLERİ</t>
  </si>
  <si>
    <t>19.00.01 BMU TEMİZLİK SEPETİ</t>
  </si>
  <si>
    <t>19.01.00 DIŞ CEPHE MANTOLAMA İŞLERİ</t>
  </si>
  <si>
    <t>19.01.00 ISI YALITIM LEVHASI</t>
  </si>
  <si>
    <t>19.01.01 DIŞ CEPHE SIVA &amp; BOYA İŞLERİ</t>
  </si>
  <si>
    <t>19.03.00 PREKAST CEPHE KAPLAMA</t>
  </si>
  <si>
    <t>21.03.00 DÖNER KAPI</t>
  </si>
  <si>
    <t>23.01.00 TEMEL ALTI YALITIM</t>
  </si>
  <si>
    <t>23.01.01 ISLAK HACİM YALITIM</t>
  </si>
  <si>
    <t>23.03.00 SES YALITIMI</t>
  </si>
  <si>
    <t>23.04.00 PASİF YANGIN DURUDURU</t>
  </si>
  <si>
    <t>25.08.00 PERDE İŞLERİ</t>
  </si>
  <si>
    <t>27.01.00 ASFALT İŞLERİ</t>
  </si>
  <si>
    <t>29.04.00 THERMOWOOD İŞLERİ</t>
  </si>
  <si>
    <t>31.00.00 MEKANİK TESİSAT İŞLERİ</t>
  </si>
  <si>
    <t>DİZAYN OFİS</t>
  </si>
  <si>
    <t>ŞANTİYE</t>
  </si>
  <si>
    <t>İHALE VE SATINALMA</t>
  </si>
  <si>
    <t>YÖNETİM</t>
  </si>
  <si>
    <t>HUKUK</t>
  </si>
  <si>
    <t>SÖZLEŞME</t>
  </si>
  <si>
    <t>TAMAMLANDI</t>
  </si>
  <si>
    <t>İHALE AŞAMASINDA</t>
  </si>
  <si>
    <t>DEĞERLENDİRME</t>
  </si>
  <si>
    <t>İPTAL</t>
  </si>
  <si>
    <t>PROJELENDİRME</t>
  </si>
  <si>
    <t>TALEP AŞAMASINDA</t>
  </si>
  <si>
    <t>HAZIRLIK AŞAMASINDA</t>
  </si>
  <si>
    <t>SÜREÇ SAHİBİ</t>
  </si>
  <si>
    <t>DURUM</t>
  </si>
  <si>
    <t>PLANLANAN</t>
  </si>
  <si>
    <t>GERÇEKLEŞEN</t>
  </si>
  <si>
    <t>İHALE KARAR TARİHİ</t>
  </si>
  <si>
    <t>SÖZLEŞME İMZA TARİHİ</t>
  </si>
  <si>
    <t>PROJE YAYIN TARİHİ</t>
  </si>
  <si>
    <t>İHALE YAYINI</t>
  </si>
  <si>
    <t>TALEP (SAT) TARİHİ</t>
  </si>
  <si>
    <t>YÖNETİME SUNUM TARİHİ</t>
  </si>
  <si>
    <t>TASARIM KARARLARININ VERİLMESİ</t>
  </si>
  <si>
    <t>SAT NO</t>
  </si>
  <si>
    <t>SAS NO</t>
  </si>
  <si>
    <t>15.06.01 (M) PREKAST BASAMAK MALZEME</t>
  </si>
  <si>
    <t>15.01.00 (M) GAZBETON MALZEME</t>
  </si>
  <si>
    <t>15.01.01 (M) TUĞLA MALZEME</t>
  </si>
  <si>
    <t>15.06.00 (M) SERAMİK MALZEME</t>
  </si>
  <si>
    <t>15.06.02 (M) LAMİNE PARKE MALZEME</t>
  </si>
  <si>
    <t>15.06.03 (M) LAMİNANT PARKE MALZEME</t>
  </si>
  <si>
    <t>29.03.00  (M) SERT PEYZAJ MALZEMELERİ</t>
  </si>
  <si>
    <t>29.04.00 (M) THERMOWOOD MALZEMELERİ</t>
  </si>
  <si>
    <t>15.14.04 (M) VİTRİFİYE MALZEME TEMİNİ</t>
  </si>
  <si>
    <t>15.14.03 (M) GÖMME REZERVUAR MALZEME TEMİNİ</t>
  </si>
  <si>
    <t>15.14.05 (M) ARMATÜR MALZEME TEMİNİ</t>
  </si>
  <si>
    <t>15.14.06 (M) AKSESUAR MALZEME TEMİNİ</t>
  </si>
  <si>
    <t>15.14.00 (M) DUŞ KAROSU MALZEME TEMİNİ</t>
  </si>
  <si>
    <t>25.02.00 (M) KAYAR KAPI MEKANİZMASI</t>
  </si>
  <si>
    <t>19.03.03 FIBERCEMENT CEPHE KAPLAMA İŞLERİ</t>
  </si>
  <si>
    <t>11.00.00 (M) DÖKME ÇİMENTO MALZEME</t>
  </si>
  <si>
    <t>13.01.00 (M) HAZIR BETON MALZEME</t>
  </si>
  <si>
    <t>01.17.05 KULE VİNÇ BAĞLANTI KOLLARI</t>
  </si>
  <si>
    <t>29.05.00 (M) ÇOCUK OYUN EKİPMANLARI</t>
  </si>
  <si>
    <t>29.05.01 (M) KENT EKİPMANLARI</t>
  </si>
  <si>
    <t>17.06.00 (M) ŞEZLONG &amp; ŞEMSİYE İŞLERİ</t>
  </si>
  <si>
    <t>17.05.00 (M) SPOR ALETLERİ</t>
  </si>
  <si>
    <t>29.06.00 PANEL ÇİT İŞLERİ</t>
  </si>
  <si>
    <t>29.04.01 EPDM ZEMİN KAPLAMA İŞLERİ</t>
  </si>
  <si>
    <t xml:space="preserve">25.06.00 SOSYAL TESİS SABİT MOBİLYA </t>
  </si>
  <si>
    <t xml:space="preserve">25.06.01 LOBİ SABİT MOBİLYA </t>
  </si>
  <si>
    <t>17.02.00 GÜVENLİK KULÜBESİ İŞLERİ</t>
  </si>
  <si>
    <t>01.18.01 GÜVENLİK AĞI TEMİN VE MONTAJ İMALATLARI</t>
  </si>
  <si>
    <t>01.18.02 İŞ GÜVENLİĞİ BARİYERİ</t>
  </si>
  <si>
    <t>15.05.00 DUVAR KAĞIDI İŞLERİ</t>
  </si>
  <si>
    <t xml:space="preserve">15.09.00 (M) DENİZLİK MALZEME </t>
  </si>
  <si>
    <t>29.03.01 PEYZAJ BASAMAK İŞLERİ</t>
  </si>
  <si>
    <t>29.03.01 (M) PEYZAJ BASAMAK MALZEMELERİ</t>
  </si>
  <si>
    <t>AVANS + SÖZLEŞME SÜRESİ</t>
  </si>
  <si>
    <t>TALEP HAZIRLIK SÜRESİ</t>
  </si>
  <si>
    <t>23.03.01 AKUSTİK MENFEZ İŞLERİ</t>
  </si>
  <si>
    <t xml:space="preserve">25.07.00 HAREKETLİ MOBİLYA </t>
  </si>
  <si>
    <t>35.01.00 ASANSÖR İŞLERİ</t>
  </si>
  <si>
    <t>17.08.01 CUBİCLE İŞLERİ</t>
  </si>
  <si>
    <t>09.01.00 YIKIM İŞLERİ</t>
  </si>
  <si>
    <t>07.01.00 MOBİLİZASYON İŞLERİ</t>
  </si>
  <si>
    <t>19.06.00 PANJUR İŞLERİ</t>
  </si>
  <si>
    <t>05.03.00 ZEMİN ETÜDÜ</t>
  </si>
  <si>
    <t>29.01.00 BİTKİSEL PEYZAJ İŞLERİ</t>
  </si>
  <si>
    <t>29.01.01 YEŞİL ÇATI PEYZAJ İŞLERİ</t>
  </si>
  <si>
    <t xml:space="preserve">15.09.01 (M) HAVUZ TUTAMAK, KAYMAZ, IZGARA MALZEME </t>
  </si>
  <si>
    <t>15.14.01 (M) DUŞ KANALI MALZEME TEMİNİ</t>
  </si>
  <si>
    <t>15.14.02 (M) BALKON SÜZGEÇ MALZEME TEMİNİ</t>
  </si>
  <si>
    <t>15.14.07 (M) ANKASTRE CİHAZ MALZEME TEMİNİ</t>
  </si>
  <si>
    <t>15.14.08 (M) EVİYE MALZEME TEMİNİ</t>
  </si>
  <si>
    <t>11.03.00 ZEMİN İYİLEŞTİRME TEST YAPILMASI</t>
  </si>
  <si>
    <t>PROJE KODU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</si>
  <si>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</si>
  <si>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</si>
  <si>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</si>
  <si>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</si>
  <si>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</si>
  <si>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</si>
  <si>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</si>
  <si>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</si>
  <si>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</si>
  <si>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</si>
  <si>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</si>
  <si>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</si>
  <si>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</si>
  <si>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</si>
  <si>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</si>
  <si>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</si>
  <si>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</si>
  <si>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</si>
  <si>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</si>
  <si>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</si>
  <si>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</si>
  <si>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</si>
  <si>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</si>
  <si>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</si>
  <si>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</si>
  <si>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</si>
  <si>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</si>
  <si>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</si>
  <si>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</si>
  <si>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</si>
  <si>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</si>
  <si>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</si>
  <si>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</si>
  <si>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</si>
  <si>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</si>
  <si>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</si>
  <si>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</si>
  <si>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</si>
  <si>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</si>
  <si>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</si>
  <si>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</si>
  <si>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</si>
  <si>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</si>
  <si>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</si>
  <si>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</si>
  <si>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</si>
  <si>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</si>
  <si>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</si>
  <si>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</si>
  <si>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</si>
  <si>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</si>
  <si>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</si>
  <si>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</si>
  <si>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</si>
  <si>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</si>
  <si>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</si>
  <si>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</si>
  <si>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</si>
  <si>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</si>
  <si>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</si>
  <si>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</si>
  <si>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</si>
  <si>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</si>
  <si>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</si>
  <si>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</si>
  <si>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</si>
  <si>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</si>
  <si>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</si>
  <si>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</si>
  <si>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</si>
  <si>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</si>
  <si>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</si>
  <si>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</si>
  <si>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</si>
  <si>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</si>
  <si>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</si>
  <si>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</si>
  <si>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</si>
  <si>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</si>
  <si>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</si>
  <si>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</si>
  <si>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</si>
  <si>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</si>
  <si>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</si>
  <si>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</si>
  <si>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</si>
  <si>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</si>
  <si>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</si>
  <si>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SÖZLEŞME TUTARI TL</t>
  </si>
  <si>
    <t>SÖZLEŞME TUTARI USD</t>
  </si>
  <si>
    <t>SÖZLEŞME TUTARI EURO</t>
  </si>
  <si>
    <t>ETAP</t>
  </si>
  <si>
    <t>İHALE KATEGORİ</t>
  </si>
  <si>
    <t>İHALE BÖLÜMÜ</t>
  </si>
  <si>
    <t>İNŞ</t>
  </si>
  <si>
    <t>A KATEGORİ</t>
  </si>
  <si>
    <t>B KATEGORİ</t>
  </si>
  <si>
    <t>C KATEGORİ</t>
  </si>
  <si>
    <t>İMALAT BAŞLANGIÇ TARİHİ</t>
  </si>
  <si>
    <t>İHALE KODU</t>
  </si>
  <si>
    <t>Her ihalenin ihale kodu farklı olmalı, eğer aynı kod olursa hücre rengi kırmızı olarak uyarı vermekte</t>
  </si>
  <si>
    <t>İHALE HAZIRLIK SÜRESİ
(MSA)</t>
  </si>
  <si>
    <t>PROJELENDİRME / NUMUNE ONAY SÜRESİ</t>
  </si>
  <si>
    <t>ÜRETİM / TERMİN / MOBİLİZAYON SÜRESİ</t>
  </si>
  <si>
    <t>21.03.01 FOTOSELLİ KAPI</t>
  </si>
  <si>
    <t>15.12.00 KİREMİT ÇATI İŞLERİ</t>
  </si>
  <si>
    <t>15.12.01 KENET ÇATI İŞLERİ</t>
  </si>
  <si>
    <t>19.03.02 THERMOWOOD CEPHE KAPLAMA İŞLERİ</t>
  </si>
  <si>
    <t>19.03.04 CAM SAÇAK KAPLAMA İŞLERİ</t>
  </si>
  <si>
    <t>19.03.05 ALÜMİNYUM SAÇAK KAPLAMA İŞLERİ</t>
  </si>
  <si>
    <t>19.06.01 TENTE İŞLERİ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</si>
  <si>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</si>
  <si>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</si>
  <si>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</si>
  <si>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</si>
  <si>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</si>
  <si>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</si>
  <si>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</si>
  <si>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</si>
  <si>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</si>
  <si>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</si>
  <si>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</si>
  <si>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</si>
  <si>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</si>
  <si>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</si>
  <si>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</si>
  <si>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</si>
  <si>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</si>
  <si>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</si>
  <si>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</si>
  <si>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</si>
  <si>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</si>
  <si>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</si>
  <si>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</si>
  <si>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</si>
  <si>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</si>
  <si>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</si>
  <si>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</si>
  <si>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15.05.00 (M) DUVAR KAĞIDI İŞLERİ</t>
  </si>
  <si>
    <t>116</t>
  </si>
  <si>
    <t>Raporun doğru çalışması için iş şablon bir kez sisteme yüklenmeli ve sonrasında rapor ekranında yer alan planlanan imalat başlangıç tarihi sisteme eklenmelidir.</t>
  </si>
  <si>
    <t>31.01.00 TEMEL PVC İŞLERİ</t>
  </si>
  <si>
    <t>31.02.00 BAKIR BORULAMA VE MONTAJ İŞLERİ</t>
  </si>
  <si>
    <t>31.03.00 VRV HAVALANDIRMA İŞLERİ</t>
  </si>
  <si>
    <t>31.01.01 (M) HİDROFOR</t>
  </si>
  <si>
    <t>31.04.00 (M) YANGIN POMPASI</t>
  </si>
  <si>
    <t>31.04.01 FM 200 SİSTEMİ</t>
  </si>
  <si>
    <t>31.03.01 (M) FANLAR VE KLİMA SANTRALİ</t>
  </si>
  <si>
    <t>31.05.00 DOĞALGAZ SİSTEMİ</t>
  </si>
  <si>
    <t>31.07.00 HAVUZ TESİSAT İŞLERİ</t>
  </si>
  <si>
    <t>31.02.01 (M) KLİMA VE VRV İŞLERİ</t>
  </si>
  <si>
    <t>31.02.02 (M) KAZAN</t>
  </si>
  <si>
    <t>31.02.03 (M) POMPALAR</t>
  </si>
  <si>
    <t>31.02.04 SUB-STAİON İŞLERİ</t>
  </si>
  <si>
    <t>31.01.02 (M) SAYAÇ (KALORİMETRE VE SU SAYACI)</t>
  </si>
  <si>
    <t>33.01.00 JENERATÖR İŞLERİ</t>
  </si>
  <si>
    <t>33.00.00 TEMEL TOPRAKLAMA TESİSAT İŞLERİ</t>
  </si>
  <si>
    <t>33.00.01 ELEKTRİK TESİSAT İŞLERİ</t>
  </si>
  <si>
    <t>33.01.02 (M) CEPHE AYDINLATMA</t>
  </si>
  <si>
    <t>33.01.03 (M) ÇEVRE AYDINLATMA</t>
  </si>
  <si>
    <t>33.01.04 (M) ANAHTAR PRİZ</t>
  </si>
  <si>
    <t>33.01.05 KNX OTOMASYON İŞLERİ</t>
  </si>
  <si>
    <t xml:space="preserve">33.03.00 ENERJİ TEMİN İŞLERİ </t>
  </si>
  <si>
    <t>33.02.00 OTOPARK BARİYER İŞLERİ</t>
  </si>
  <si>
    <t>33.03.01 GES İŞLERİ</t>
  </si>
  <si>
    <t>MEK</t>
  </si>
  <si>
    <t>ELK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</si>
  <si>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</si>
  <si>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</si>
  <si>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</si>
  <si>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</si>
  <si>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</si>
  <si>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</si>
  <si>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</si>
  <si>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</si>
  <si>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</si>
  <si>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</si>
  <si>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</si>
  <si>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</si>
  <si>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</si>
  <si>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</si>
  <si>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</si>
  <si>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</si>
  <si>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</si>
  <si>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</si>
  <si>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</si>
  <si>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</si>
  <si>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</si>
  <si>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</si>
  <si>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</si>
  <si>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</si>
  <si>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ilk sevkiyat süresidir, proje iş programına göre sevkiyat ayarlanıyor</t>
  </si>
  <si>
    <t>Asansör çelik imalatı dikkate alınmalıdır.</t>
  </si>
  <si>
    <t>33.01.01 (M) AYDINLATMA ARMATÜR</t>
  </si>
  <si>
    <t>Proje kodu çoktan seçmeli olarak B1 hücresinden seçilmelidir</t>
  </si>
  <si>
    <t>Yeni proje kodu admin tarafından açılmaktadır, yeni proje eklenmesi gerekirse admine bilgi veriniz.</t>
  </si>
  <si>
    <t>Tablo ilk kez oluşturulurken şablonda yer alan planlanan süreler kontrol edilmeli ve gerekmesi halinde admine bilgi verilerek güncellenmelidir.</t>
  </si>
  <si>
    <t>ihale kodu ve ihale numarası değştirilmemelidir.</t>
  </si>
  <si>
    <t>KULLANIM KLAVUZU</t>
  </si>
  <si>
    <t>İHALE ADI / AÇIKLAMA</t>
  </si>
  <si>
    <t>Raporun çalışması için Veri girişindeki B1 hücresinde yer alan proje kodu ve U sütununda yer alan planlanan başlangıç tarihi kesinlikle girilmelidir.</t>
  </si>
  <si>
    <t>Raporun proje boyunca sağlıklı takip edilebilmesi için gerçekleşen tarihler, SAT, SAS noları ve anlaşma tutarları yazılmalıdır.</t>
  </si>
  <si>
    <t xml:space="preserve">Aynı ihale kodundan birden fazla ihale olacaksa (merdiven çelik, pergole çelik veya villa kaba yapı, residance kaba yapı gibi) etap kısmı 2,3,4 şeklinde olacak şekilde satır eklenmelidir. </t>
  </si>
  <si>
    <t>Aynı ihale kodundan birden fazla ihale olacaksa veya listede olmayan yeni ihale numarası eklenecekse bu ekleme admin tarafından yapılmalıdır.</t>
  </si>
  <si>
    <t>PLANLANAN SÜRE</t>
  </si>
  <si>
    <t>PLANLANAN TARİH</t>
  </si>
  <si>
    <t>GERÇEKLEŞEN SÜRE</t>
  </si>
  <si>
    <t>GERÇEKLEŞEN TARİH</t>
  </si>
  <si>
    <t>Şablonda olup kullanılmayacak olan ihalelere ilişkin satır silinmelidir.</t>
  </si>
  <si>
    <t>DİZAYN İLERLEME YÜZDESİ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</si>
</sst>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gün&quot;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sz val="11"/>
      <color theme="1"/>
      <name val="Candara"/>
      <family val="2"/>
      <charset val="162"/>
    </font>
    <font>
      <b/>
      <sz val="11"/>
      <color theme="1"/>
      <name val="Candara"/>
      <family val="2"/>
      <charset val="162"/>
    </font>
    <font>
      <sz val="11"/>
      <color rgb="FFFF0000"/>
      <name val="Candara"/>
      <family val="2"/>
      <charset val="162"/>
    </font>
    <font>
      <sz val="11"/>
      <name val="Candara"/>
      <family val="2"/>
      <charset val="162"/>
    </font>
    <font>
      <b/>
      <sz val="11"/>
      <name val="Candara"/>
      <family val="2"/>
      <charset val="162"/>
    </font>
    <font>
      <sz val="11"/>
      <color theme="0" tint="-0.34998626667073579"/>
      <name val="Candara"/>
      <family val="2"/>
      <charset val="162"/>
    </font>
    <font>
      <b/>
      <sz val="11"/>
      <color rgb="FFFF0000"/>
      <name val="Candara"/>
      <family val="2"/>
      <charset val="162"/>
    </font>
    <font>
      <i/>
      <sz val="10"/>
      <color theme="1"/>
      <name val="Candara"/>
      <family val="2"/>
      <charset val="162"/>
    </font>
    <font>
      <i/>
      <sz val="11"/>
      <color theme="1"/>
      <name val="Candara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63">
    <xf numFmtId="0" fontId="0" fillId="0" borderId="0" xfId="0" applyNumberFormat="1"/>
    <xf numFmtId="0" fontId="11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0" fontId="11" fillId="0" borderId="0" xfId="0" applyNumberFormat="1" applyFont="1" applyFill="1" applyAlignment="1">
      <alignment horizontal="left" vertical="center"/>
    </xf>
    <xf numFmtId="0" fontId="8" fillId="0" borderId="0" xfId="0" applyNumberFormat="1" applyFont="1" applyFill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13" fillId="8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7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2" fillId="0" borderId="0" xfId="0" applyNumberFormat="1" applyFont="1" applyAlignment="1" applyProtection="1">
      <alignment horizontal="center" vertical="center"/>
    </xf>
    <xf numFmtId="0" fontId="17" fillId="0" borderId="0" xfId="0" applyNumberFormat="1" applyFont="1" applyAlignment="1" applyProtection="1">
      <alignment horizontal="center" vertical="center"/>
    </xf>
    <xf numFmtId="0" fontId="16" fillId="8" borderId="0" xfId="0" applyNumberFormat="1" applyFont="1" applyFill="1" applyAlignment="1" applyProtection="1">
      <alignment horizontal="center" vertical="center" wrapText="1"/>
    </xf>
    <xf numFmtId="0" fontId="16" fillId="12" borderId="0" xfId="0" applyNumberFormat="1" applyFont="1" applyFill="1" applyAlignment="1" applyProtection="1">
      <alignment horizontal="center" vertical="center" wrapText="1"/>
    </xf>
    <xf numFmtId="0" fontId="13" fillId="13" borderId="0" xfId="0" applyNumberFormat="1" applyFont="1" applyFill="1" applyAlignment="1" applyProtection="1">
      <alignment horizontal="center" vertical="center" wrapText="1"/>
    </xf>
    <xf numFmtId="0" fontId="13" fillId="14" borderId="0" xfId="0" applyNumberFormat="1" applyFont="1" applyFill="1" applyAlignment="1" applyProtection="1">
      <alignment horizontal="center" vertical="center" wrapText="1"/>
    </xf>
    <xf numFmtId="0" fontId="13" fillId="15" borderId="0" xfId="0" applyNumberFormat="1" applyFont="1" applyFill="1" applyAlignment="1" applyProtection="1">
      <alignment horizontal="center" vertical="center" wrapText="1"/>
    </xf>
    <xf numFmtId="0" fontId="13" fillId="16" borderId="0" xfId="0" applyNumberFormat="1" applyFont="1" applyFill="1" applyAlignment="1" applyProtection="1">
      <alignment horizontal="center" vertical="center" wrapText="1"/>
    </xf>
    <xf numFmtId="0" fontId="16" fillId="18" borderId="0" xfId="0" applyNumberFormat="1" applyFont="1" applyFill="1" applyAlignment="1" applyProtection="1">
      <alignment horizontal="center" vertical="center" wrapText="1"/>
    </xf>
    <xf numFmtId="0" fontId="16" fillId="17" borderId="0" xfId="0" applyNumberFormat="1" applyFont="1" applyFill="1" applyAlignment="1" applyProtection="1">
      <alignment horizontal="center" vertical="center" wrapText="1"/>
    </xf>
    <xf numFmtId="0" fontId="12" fillId="0" borderId="0" xfId="0" applyNumberFormat="1" applyFont="1" applyAlignment="1" applyProtection="1">
      <alignment horizontal="center" vertical="center" wrapText="1"/>
    </xf>
    <xf numFmtId="0" fontId="12" fillId="0" borderId="0" xfId="0" applyNumberFormat="1" applyFont="1" applyFill="1" applyAlignment="1" applyProtection="1">
      <alignment horizontal="center" vertical="center"/>
    </xf>
    <xf numFmtId="0" fontId="5" fillId="0" borderId="0" xfId="0" quotePrefix="1" applyNumberFormat="1" applyFont="1" applyFill="1" applyAlignment="1" applyProtection="1">
      <alignment horizontal="center" vertical="center"/>
    </xf>
    <xf numFmtId="0" fontId="6" fillId="0" borderId="0" xfId="0" applyNumberFormat="1" applyFont="1" applyFill="1" applyAlignment="1" applyProtection="1">
      <alignment horizontal="center" vertical="center"/>
    </xf>
    <xf numFmtId="0" fontId="5" fillId="0" borderId="0" xfId="0" applyNumberFormat="1" applyFont="1" applyFill="1" applyAlignment="1" applyProtection="1">
      <alignment horizontal="center" vertical="center"/>
    </xf>
    <xf numFmtId="164" fontId="12" fillId="11" borderId="0" xfId="0" applyNumberFormat="1" applyFont="1" applyFill="1" applyAlignment="1" applyProtection="1">
      <alignment horizontal="center" vertical="center"/>
    </xf>
    <xf numFmtId="164" fontId="12" fillId="9" borderId="0" xfId="0" applyNumberFormat="1" applyFont="1" applyFill="1" applyAlignment="1" applyProtection="1">
      <alignment horizontal="center" vertical="center"/>
    </xf>
    <xf numFmtId="164" fontId="12" fillId="10" borderId="0" xfId="0" applyNumberFormat="1" applyFont="1" applyFill="1" applyAlignment="1" applyProtection="1">
      <alignment horizontal="center" vertical="center"/>
    </xf>
    <xf numFmtId="164" fontId="12" fillId="7" borderId="0" xfId="0" applyNumberFormat="1" applyFont="1" applyFill="1" applyAlignment="1" applyProtection="1">
      <alignment horizontal="center" vertical="center"/>
    </xf>
    <xf numFmtId="164" fontId="12" fillId="6" borderId="0" xfId="0" applyNumberFormat="1" applyFont="1" applyFill="1" applyAlignment="1" applyProtection="1">
      <alignment horizontal="center" vertical="center"/>
    </xf>
    <xf numFmtId="164" fontId="12" fillId="5" borderId="0" xfId="0" applyNumberFormat="1" applyFont="1" applyFill="1" applyAlignment="1" applyProtection="1">
      <alignment horizontal="center" vertical="center"/>
    </xf>
    <xf numFmtId="164" fontId="12" fillId="4" borderId="0" xfId="0" applyNumberFormat="1" applyFont="1" applyFill="1" applyAlignment="1" applyProtection="1">
      <alignment horizontal="center" vertical="center"/>
    </xf>
    <xf numFmtId="164" fontId="12" fillId="3" borderId="0" xfId="0" applyNumberFormat="1" applyFont="1" applyFill="1" applyAlignment="1" applyProtection="1">
      <alignment horizontal="center" vertical="center"/>
    </xf>
    <xf numFmtId="0" fontId="4" fillId="0" borderId="0" xfId="0" applyNumberFormat="1" applyFont="1" applyFill="1" applyAlignment="1" applyProtection="1">
      <alignment horizontal="center" vertical="center"/>
    </xf>
    <xf numFmtId="164" fontId="15" fillId="9" borderId="0" xfId="0" applyNumberFormat="1" applyFont="1" applyFill="1" applyAlignment="1" applyProtection="1">
      <alignment horizontal="center" vertical="center"/>
    </xf>
    <xf numFmtId="164" fontId="15" fillId="10" borderId="0" xfId="0" applyNumberFormat="1" applyFont="1" applyFill="1" applyAlignment="1" applyProtection="1">
      <alignment horizontal="center" vertical="center"/>
    </xf>
    <xf numFmtId="164" fontId="15" fillId="7" borderId="0" xfId="0" applyNumberFormat="1" applyFont="1" applyFill="1" applyAlignment="1" applyProtection="1">
      <alignment horizontal="center" vertical="center"/>
    </xf>
    <xf numFmtId="164" fontId="15" fillId="6" borderId="0" xfId="0" applyNumberFormat="1" applyFont="1" applyFill="1" applyAlignment="1" applyProtection="1">
      <alignment horizontal="center" vertical="center"/>
    </xf>
    <xf numFmtId="164" fontId="15" fillId="5" borderId="0" xfId="0" applyNumberFormat="1" applyFont="1" applyFill="1" applyAlignment="1" applyProtection="1">
      <alignment horizontal="center" vertical="center"/>
    </xf>
    <xf numFmtId="164" fontId="15" fillId="4" borderId="0" xfId="0" applyNumberFormat="1" applyFont="1" applyFill="1" applyAlignment="1" applyProtection="1">
      <alignment horizontal="center" vertical="center"/>
    </xf>
    <xf numFmtId="164" fontId="15" fillId="3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center" vertical="center"/>
    </xf>
    <xf numFmtId="0" fontId="12" fillId="0" borderId="0" xfId="0" applyNumberFormat="1" applyFont="1" applyFill="1" applyAlignment="1" applyProtection="1">
      <alignment horizontal="center" vertical="center"/>
      <protection locked="0"/>
    </xf>
    <xf numFmtId="164" fontId="19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quotePrefix="1" applyNumberFormat="1" applyFont="1" applyFill="1" applyAlignment="1" applyProtection="1">
      <alignment horizontal="center" vertical="center"/>
    </xf>
    <xf numFmtId="14" fontId="12" fillId="11" borderId="4" xfId="0" applyNumberFormat="1" applyFont="1" applyFill="1" applyBorder="1" applyAlignment="1" applyProtection="1">
      <alignment horizontal="center" vertical="center"/>
      <protection locked="0"/>
    </xf>
    <xf numFmtId="14" fontId="12" fillId="11" borderId="6" xfId="0" applyNumberFormat="1" applyFont="1" applyFill="1" applyBorder="1" applyAlignment="1" applyProtection="1">
      <alignment horizontal="center" vertical="center"/>
      <protection locked="0"/>
    </xf>
    <xf numFmtId="14" fontId="12" fillId="11" borderId="3" xfId="0" applyNumberFormat="1" applyFont="1" applyFill="1" applyBorder="1" applyAlignment="1" applyProtection="1">
      <alignment horizontal="center" vertical="center"/>
      <protection locked="0"/>
    </xf>
    <xf numFmtId="14" fontId="12" fillId="11" borderId="5" xfId="0" applyNumberFormat="1" applyFont="1" applyFill="1" applyBorder="1" applyAlignment="1" applyProtection="1">
      <alignment horizontal="center" vertical="center"/>
      <protection locked="0"/>
    </xf>
    <xf numFmtId="0" fontId="9" fillId="11" borderId="3" xfId="0" applyNumberFormat="1" applyFont="1" applyFill="1" applyBorder="1" applyAlignment="1" applyProtection="1">
      <alignment horizontal="center" vertical="center"/>
      <protection locked="0"/>
    </xf>
    <xf numFmtId="0" fontId="9" fillId="11" borderId="0" xfId="0" applyNumberFormat="1" applyFont="1" applyFill="1" applyBorder="1" applyAlignment="1" applyProtection="1">
      <alignment horizontal="center" vertical="center"/>
      <protection locked="0"/>
    </xf>
    <xf numFmtId="0" fontId="8" fillId="11" borderId="0" xfId="0" applyNumberFormat="1" applyFont="1" applyFill="1" applyBorder="1" applyAlignment="1" applyProtection="1">
      <alignment horizontal="center" vertical="center"/>
      <protection locked="0"/>
    </xf>
    <xf numFmtId="0" fontId="9" fillId="11" borderId="5" xfId="0" applyNumberFormat="1" applyFont="1" applyFill="1" applyBorder="1" applyAlignment="1" applyProtection="1">
      <alignment horizontal="center" vertical="center"/>
      <protection locked="0"/>
    </xf>
    <xf numFmtId="0" fontId="9" fillId="11" borderId="8" xfId="0" applyNumberFormat="1" applyFont="1" applyFill="1" applyBorder="1" applyAlignment="1" applyProtection="1">
      <alignment horizontal="center" vertical="center"/>
      <protection locked="0"/>
    </xf>
    <xf numFmtId="0" fontId="10" fillId="11" borderId="3" xfId="0" applyNumberFormat="1" applyFont="1" applyFill="1" applyBorder="1" applyAlignment="1" applyProtection="1">
      <alignment horizontal="center" vertical="center"/>
      <protection locked="0"/>
    </xf>
    <xf numFmtId="0" fontId="10" fillId="11" borderId="5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NumberFormat="1" applyFont="1" applyAlignment="1" applyProtection="1">
      <alignment horizontal="center" vertical="center"/>
    </xf>
    <xf numFmtId="0" fontId="15" fillId="0" borderId="0" xfId="0" applyNumberFormat="1" applyFont="1" applyAlignment="1" applyProtection="1">
      <alignment horizontal="center" vertical="center"/>
    </xf>
    <xf numFmtId="0" fontId="16" fillId="9" borderId="1" xfId="0" applyNumberFormat="1" applyFont="1" applyFill="1" applyBorder="1" applyAlignment="1" applyProtection="1">
      <alignment horizontal="center" vertical="center" wrapText="1"/>
    </xf>
    <xf numFmtId="0" fontId="16" fillId="9" borderId="2" xfId="0" applyNumberFormat="1" applyFont="1" applyFill="1" applyBorder="1" applyAlignment="1" applyProtection="1">
      <alignment horizontal="center" vertical="center" wrapText="1"/>
    </xf>
    <xf numFmtId="0" fontId="16" fillId="7" borderId="1" xfId="0" applyNumberFormat="1" applyFont="1" applyFill="1" applyBorder="1" applyAlignment="1" applyProtection="1">
      <alignment horizontal="center" vertical="center" wrapText="1"/>
    </xf>
    <xf numFmtId="0" fontId="16" fillId="7" borderId="2" xfId="0" applyNumberFormat="1" applyFont="1" applyFill="1" applyBorder="1" applyAlignment="1" applyProtection="1">
      <alignment horizontal="center" vertical="center" wrapText="1"/>
    </xf>
    <xf numFmtId="0" fontId="16" fillId="2" borderId="1" xfId="0" applyNumberFormat="1" applyFont="1" applyFill="1" applyBorder="1" applyAlignment="1" applyProtection="1">
      <alignment horizontal="center" vertical="center" wrapText="1"/>
    </xf>
    <xf numFmtId="0" fontId="16" fillId="2" borderId="2" xfId="0" applyNumberFormat="1" applyFont="1" applyFill="1" applyBorder="1" applyAlignment="1" applyProtection="1">
      <alignment horizontal="center" vertical="center" wrapText="1"/>
    </xf>
    <xf numFmtId="0" fontId="16" fillId="2" borderId="5" xfId="0" applyNumberFormat="1" applyFont="1" applyFill="1" applyBorder="1" applyAlignment="1" applyProtection="1">
      <alignment horizontal="center" vertical="center" wrapText="1"/>
    </xf>
    <xf numFmtId="0" fontId="18" fillId="7" borderId="5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Border="1" applyAlignment="1" applyProtection="1">
      <alignment horizontal="center" vertical="center"/>
    </xf>
    <xf numFmtId="0" fontId="12" fillId="0" borderId="4" xfId="0" applyNumberFormat="1" applyFont="1" applyBorder="1" applyAlignment="1" applyProtection="1">
      <alignment horizontal="center" vertical="center"/>
    </xf>
    <xf numFmtId="14" fontId="12" fillId="0" borderId="3" xfId="0" applyNumberFormat="1" applyFont="1" applyBorder="1" applyAlignment="1" applyProtection="1">
      <alignment horizontal="center" vertical="center"/>
    </xf>
    <xf numFmtId="0" fontId="12" fillId="0" borderId="8" xfId="0" applyNumberFormat="1" applyFont="1" applyBorder="1" applyAlignment="1" applyProtection="1">
      <alignment horizontal="center" vertical="center"/>
    </xf>
    <xf numFmtId="0" fontId="12" fillId="0" borderId="6" xfId="0" applyNumberFormat="1" applyFont="1" applyBorder="1" applyAlignment="1" applyProtection="1">
      <alignment horizontal="center" vertical="center"/>
    </xf>
    <xf numFmtId="14" fontId="12" fillId="0" borderId="5" xfId="0" applyNumberFormat="1" applyFont="1" applyBorder="1" applyAlignment="1" applyProtection="1">
      <alignment horizontal="center" vertical="center"/>
    </xf>
    <xf numFmtId="0" fontId="10" fillId="0" borderId="0" xfId="0" applyNumberFormat="1" applyFont="1" applyAlignment="1" applyProtection="1">
      <alignment horizontal="center" vertical="center"/>
    </xf>
    <xf numFmtId="14" fontId="12" fillId="0" borderId="0" xfId="0" applyNumberFormat="1" applyFont="1" applyAlignment="1" applyProtection="1">
      <alignment horizontal="center" vertical="center"/>
    </xf>
    <xf numFmtId="14" fontId="15" fillId="0" borderId="0" xfId="0" applyNumberFormat="1" applyFont="1" applyAlignment="1" applyProtection="1">
      <alignment horizontal="center" vertical="center"/>
    </xf>
    <xf numFmtId="14" fontId="12" fillId="0" borderId="0" xfId="0" applyNumberFormat="1" applyFont="1" applyFill="1" applyAlignment="1" applyProtection="1">
      <alignment horizontal="center" vertical="center"/>
    </xf>
    <xf numFmtId="0" fontId="9" fillId="0" borderId="0" xfId="0" applyNumberFormat="1" applyFont="1" applyFill="1" applyAlignment="1" applyProtection="1">
      <alignment horizontal="center" vertical="center"/>
    </xf>
    <xf numFmtId="0" fontId="12" fillId="11" borderId="0" xfId="0" applyNumberFormat="1" applyFont="1" applyFill="1" applyBorder="1" applyAlignment="1" applyProtection="1">
      <alignment horizontal="center" vertical="center"/>
      <protection locked="0"/>
    </xf>
    <xf numFmtId="0" fontId="12" fillId="11" borderId="8" xfId="0" applyNumberFormat="1" applyFont="1" applyFill="1" applyBorder="1" applyAlignment="1" applyProtection="1">
      <alignment horizontal="center" vertical="center"/>
      <protection locked="0"/>
    </xf>
    <xf numFmtId="0" fontId="16" fillId="8" borderId="1" xfId="0" applyNumberFormat="1" applyFont="1" applyFill="1" applyBorder="1" applyAlignment="1" applyProtection="1">
      <alignment horizontal="center" vertical="center" wrapText="1"/>
    </xf>
    <xf numFmtId="0" fontId="16" fillId="8" borderId="7" xfId="0" applyNumberFormat="1" applyFont="1" applyFill="1" applyBorder="1" applyAlignment="1" applyProtection="1">
      <alignment horizontal="center" vertical="center" wrapText="1"/>
    </xf>
    <xf numFmtId="0" fontId="16" fillId="8" borderId="2" xfId="0" applyNumberFormat="1" applyFont="1" applyFill="1" applyBorder="1" applyAlignment="1" applyProtection="1">
      <alignment horizontal="center" vertical="center" wrapText="1"/>
    </xf>
    <xf numFmtId="0" fontId="16" fillId="3" borderId="1" xfId="0" applyNumberFormat="1" applyFont="1" applyFill="1" applyBorder="1" applyAlignment="1" applyProtection="1">
      <alignment horizontal="center" vertical="center" wrapText="1"/>
    </xf>
    <xf numFmtId="0" fontId="16" fillId="3" borderId="2" xfId="0" applyNumberFormat="1" applyFont="1" applyFill="1" applyBorder="1" applyAlignment="1" applyProtection="1">
      <alignment horizontal="center" vertical="center" wrapText="1"/>
    </xf>
    <xf numFmtId="0" fontId="16" fillId="4" borderId="1" xfId="0" applyNumberFormat="1" applyFont="1" applyFill="1" applyBorder="1" applyAlignment="1" applyProtection="1">
      <alignment horizontal="center" vertical="center" wrapText="1"/>
    </xf>
    <xf numFmtId="0" fontId="16" fillId="4" borderId="2" xfId="0" applyNumberFormat="1" applyFont="1" applyFill="1" applyBorder="1" applyAlignment="1" applyProtection="1">
      <alignment horizontal="center" vertical="center" wrapText="1"/>
    </xf>
    <xf numFmtId="0" fontId="16" fillId="5" borderId="1" xfId="0" applyNumberFormat="1" applyFont="1" applyFill="1" applyBorder="1" applyAlignment="1" applyProtection="1">
      <alignment horizontal="center" vertical="center" wrapText="1"/>
    </xf>
    <xf numFmtId="0" fontId="16" fillId="5" borderId="2" xfId="0" applyNumberFormat="1" applyFont="1" applyFill="1" applyBorder="1" applyAlignment="1" applyProtection="1">
      <alignment horizontal="center" vertical="center" wrapText="1"/>
    </xf>
    <xf numFmtId="0" fontId="16" fillId="6" borderId="1" xfId="0" applyNumberFormat="1" applyFont="1" applyFill="1" applyBorder="1" applyAlignment="1" applyProtection="1">
      <alignment horizontal="center" vertical="center" wrapText="1"/>
    </xf>
    <xf numFmtId="0" fontId="16" fillId="6" borderId="2" xfId="0" applyNumberFormat="1" applyFont="1" applyFill="1" applyBorder="1" applyAlignment="1" applyProtection="1">
      <alignment horizontal="center" vertical="center" wrapText="1"/>
    </xf>
    <xf numFmtId="0" fontId="16" fillId="8" borderId="5" xfId="0" applyNumberFormat="1" applyFont="1" applyFill="1" applyBorder="1" applyAlignment="1" applyProtection="1">
      <alignment horizontal="center" vertical="center" wrapText="1"/>
    </xf>
    <xf numFmtId="0" fontId="16" fillId="8" borderId="8" xfId="0" applyNumberFormat="1" applyFont="1" applyFill="1" applyBorder="1" applyAlignment="1" applyProtection="1">
      <alignment horizontal="center" vertical="center" wrapText="1"/>
    </xf>
    <xf numFmtId="0" fontId="16" fillId="8" borderId="6" xfId="0" applyNumberFormat="1" applyFont="1" applyFill="1" applyBorder="1" applyAlignment="1" applyProtection="1">
      <alignment horizontal="center" vertical="center" wrapText="1"/>
    </xf>
    <xf numFmtId="0" fontId="16" fillId="9" borderId="5" xfId="0" applyNumberFormat="1" applyFont="1" applyFill="1" applyBorder="1" applyAlignment="1" applyProtection="1">
      <alignment horizontal="center" vertical="center" wrapText="1"/>
    </xf>
    <xf numFmtId="0" fontId="16" fillId="9" borderId="6" xfId="0" applyNumberFormat="1" applyFont="1" applyFill="1" applyBorder="1" applyAlignment="1" applyProtection="1">
      <alignment horizontal="center" vertical="center" wrapText="1"/>
    </xf>
    <xf numFmtId="0" fontId="16" fillId="7" borderId="5" xfId="0" applyNumberFormat="1" applyFont="1" applyFill="1" applyBorder="1" applyAlignment="1" applyProtection="1">
      <alignment horizontal="center" vertical="center" wrapText="1"/>
    </xf>
    <xf numFmtId="0" fontId="16" fillId="7" borderId="6" xfId="0" applyNumberFormat="1" applyFont="1" applyFill="1" applyBorder="1" applyAlignment="1" applyProtection="1">
      <alignment horizontal="center" vertical="center" wrapText="1"/>
    </xf>
    <xf numFmtId="0" fontId="16" fillId="2" borderId="6" xfId="0" applyNumberFormat="1" applyFont="1" applyFill="1" applyBorder="1" applyAlignment="1" applyProtection="1">
      <alignment horizontal="center" vertical="center" wrapText="1"/>
    </xf>
    <xf numFmtId="0" fontId="16" fillId="3" borderId="5" xfId="0" applyNumberFormat="1" applyFont="1" applyFill="1" applyBorder="1" applyAlignment="1" applyProtection="1">
      <alignment horizontal="center" vertical="center" wrapText="1"/>
    </xf>
    <xf numFmtId="0" fontId="16" fillId="3" borderId="6" xfId="0" applyNumberFormat="1" applyFont="1" applyFill="1" applyBorder="1" applyAlignment="1" applyProtection="1">
      <alignment horizontal="center" vertical="center" wrapText="1"/>
    </xf>
    <xf numFmtId="0" fontId="16" fillId="4" borderId="5" xfId="0" applyNumberFormat="1" applyFont="1" applyFill="1" applyBorder="1" applyAlignment="1" applyProtection="1">
      <alignment horizontal="center" vertical="center" wrapText="1"/>
    </xf>
    <xf numFmtId="0" fontId="16" fillId="4" borderId="6" xfId="0" applyNumberFormat="1" applyFont="1" applyFill="1" applyBorder="1" applyAlignment="1" applyProtection="1">
      <alignment horizontal="center" vertical="center" wrapText="1"/>
    </xf>
    <xf numFmtId="0" fontId="16" fillId="5" borderId="5" xfId="0" applyNumberFormat="1" applyFont="1" applyFill="1" applyBorder="1" applyAlignment="1" applyProtection="1">
      <alignment horizontal="center" vertical="center" wrapText="1"/>
    </xf>
    <xf numFmtId="0" fontId="16" fillId="5" borderId="6" xfId="0" applyNumberFormat="1" applyFont="1" applyFill="1" applyBorder="1" applyAlignment="1" applyProtection="1">
      <alignment horizontal="center" vertical="center" wrapText="1"/>
    </xf>
    <xf numFmtId="0" fontId="16" fillId="6" borderId="5" xfId="0" applyNumberFormat="1" applyFont="1" applyFill="1" applyBorder="1" applyAlignment="1" applyProtection="1">
      <alignment horizontal="center" vertical="center" wrapText="1"/>
    </xf>
    <xf numFmtId="0" fontId="16" fillId="6" borderId="6" xfId="0" applyNumberFormat="1" applyFont="1" applyFill="1" applyBorder="1" applyAlignment="1" applyProtection="1">
      <alignment horizontal="center" vertical="center" wrapText="1"/>
    </xf>
    <xf numFmtId="0" fontId="14" fillId="11" borderId="0" xfId="0" applyNumberFormat="1" applyFont="1" applyFill="1" applyAlignment="1" applyProtection="1">
      <alignment horizontal="center" vertical="center"/>
      <protection locked="0"/>
    </xf>
    <xf numFmtId="0" fontId="13" fillId="0" borderId="0" xfId="0" applyNumberFormat="1" applyFont="1" applyFill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0" fontId="20" fillId="0" borderId="0" xfId="0" applyNumberFormat="1" applyFont="1" applyFill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4" fontId="1" fillId="11" borderId="3" xfId="0" applyNumberFormat="1" applyFont="1" applyFill="1" applyBorder="1" applyAlignment="1" applyProtection="1">
      <alignment horizontal="center" vertical="center"/>
      <protection locked="0"/>
    </xf>
    <xf numFmtId="0" fontId="16" fillId="9" borderId="7" xfId="0" applyNumberFormat="1" applyFont="1" applyFill="1" applyBorder="1" applyAlignment="1" applyProtection="1">
      <alignment horizontal="center" vertical="center" wrapText="1"/>
    </xf>
    <xf numFmtId="0" fontId="16" fillId="9" borderId="8" xfId="0" applyNumberFormat="1" applyFont="1" applyFill="1" applyBorder="1" applyAlignment="1" applyProtection="1">
      <alignment horizontal="center" vertical="center" wrapText="1"/>
    </xf>
    <xf numFmtId="0" fontId="16" fillId="2" borderId="7" xfId="0" applyNumberFormat="1" applyFont="1" applyFill="1" applyBorder="1" applyAlignment="1" applyProtection="1">
      <alignment horizontal="center" vertical="center" wrapText="1"/>
    </xf>
    <xf numFmtId="0" fontId="16" fillId="2" borderId="8" xfId="0" applyNumberFormat="1" applyFont="1" applyFill="1" applyBorder="1" applyAlignment="1" applyProtection="1">
      <alignment horizontal="center" vertical="center" wrapText="1"/>
    </xf>
    <xf numFmtId="0" fontId="16" fillId="7" borderId="7" xfId="0" applyNumberFormat="1" applyFont="1" applyFill="1" applyBorder="1" applyAlignment="1" applyProtection="1">
      <alignment horizontal="center" vertical="center" wrapText="1"/>
    </xf>
    <xf numFmtId="0" fontId="16" fillId="7" borderId="8" xfId="0" applyNumberFormat="1" applyFont="1" applyFill="1" applyBorder="1" applyAlignment="1" applyProtection="1">
      <alignment horizontal="center" vertical="center" wrapText="1"/>
    </xf>
    <xf numFmtId="0" fontId="16" fillId="6" borderId="7" xfId="0" applyNumberFormat="1" applyFont="1" applyFill="1" applyBorder="1" applyAlignment="1" applyProtection="1">
      <alignment horizontal="center" vertical="center" wrapText="1"/>
    </xf>
    <xf numFmtId="0" fontId="16" fillId="6" borderId="8" xfId="0" applyNumberFormat="1" applyFont="1" applyFill="1" applyBorder="1" applyAlignment="1" applyProtection="1">
      <alignment horizontal="center" vertical="center" wrapText="1"/>
    </xf>
    <xf numFmtId="0" fontId="16" fillId="5" borderId="7" xfId="0" applyNumberFormat="1" applyFont="1" applyFill="1" applyBorder="1" applyAlignment="1" applyProtection="1">
      <alignment horizontal="center" vertical="center" wrapText="1"/>
    </xf>
    <xf numFmtId="0" fontId="16" fillId="5" borderId="8" xfId="0" applyNumberFormat="1" applyFont="1" applyFill="1" applyBorder="1" applyAlignment="1" applyProtection="1">
      <alignment horizontal="center" vertical="center" wrapText="1"/>
    </xf>
    <xf numFmtId="0" fontId="16" fillId="4" borderId="7" xfId="0" applyNumberFormat="1" applyFont="1" applyFill="1" applyBorder="1" applyAlignment="1" applyProtection="1">
      <alignment horizontal="center" vertical="center" wrapText="1"/>
    </xf>
    <xf numFmtId="0" fontId="16" fillId="4" borderId="8" xfId="0" applyNumberFormat="1" applyFont="1" applyFill="1" applyBorder="1" applyAlignment="1" applyProtection="1">
      <alignment horizontal="center" vertical="center" wrapText="1"/>
    </xf>
    <xf numFmtId="0" fontId="16" fillId="3" borderId="7" xfId="0" applyNumberFormat="1" applyFont="1" applyFill="1" applyBorder="1" applyAlignment="1" applyProtection="1">
      <alignment horizontal="center" vertical="center" wrapText="1"/>
    </xf>
    <xf numFmtId="0" fontId="16" fillId="3" borderId="8" xfId="0" applyNumberFormat="1" applyFont="1" applyFill="1" applyBorder="1" applyAlignment="1" applyProtection="1">
      <alignment horizontal="center" vertical="center" wrapText="1"/>
    </xf>
    <xf numFmtId="10" fontId="9" fillId="11" borderId="4" xfId="1" applyNumberFormat="1" applyFont="1" applyFill="1" applyBorder="1" applyAlignment="1" applyProtection="1">
      <alignment horizontal="center" vertical="center"/>
      <protection locked="0"/>
    </xf>
    <xf numFmtId="10" fontId="9" fillId="11" borderId="6" xfId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NumberFormat="1" applyFont="1" applyFill="1" applyAlignment="1" applyProtection="1">
      <alignment horizontal="center" vertical="center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12" fillId="0" borderId="4" xfId="0" applyNumberFormat="1" applyFont="1" applyFill="1" applyBorder="1" applyAlignment="1" applyProtection="1">
      <alignment horizontal="center" vertical="center"/>
    </xf>
    <xf numFmtId="2" fontId="12" fillId="0" borderId="3" xfId="0" applyNumberFormat="1" applyFont="1" applyFill="1" applyBorder="1" applyAlignment="1" applyProtection="1">
      <alignment horizontal="center" vertical="center"/>
    </xf>
    <xf numFmtId="14" fontId="12" fillId="0" borderId="0" xfId="0" applyNumberFormat="1" applyFont="1" applyFill="1" applyBorder="1" applyAlignment="1" applyProtection="1">
      <alignment horizontal="center" vertical="center"/>
    </xf>
    <xf numFmtId="2" fontId="12" fillId="0" borderId="0" xfId="0" applyNumberFormat="1" applyFont="1" applyFill="1" applyBorder="1" applyAlignment="1" applyProtection="1">
      <alignment horizontal="center" vertical="center"/>
    </xf>
    <xf numFmtId="14" fontId="12" fillId="0" borderId="4" xfId="0" applyNumberFormat="1" applyFont="1" applyFill="1" applyBorder="1" applyAlignment="1" applyProtection="1">
      <alignment horizontal="center" vertical="center"/>
      <protection locked="0"/>
    </xf>
    <xf numFmtId="14" fontId="12" fillId="0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10" fontId="9" fillId="0" borderId="4" xfId="1" applyNumberFormat="1" applyFont="1" applyFill="1" applyBorder="1" applyAlignment="1" applyProtection="1">
      <alignment horizontal="center" vertical="center"/>
      <protection locked="0"/>
    </xf>
    <xf numFmtId="14" fontId="1" fillId="0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/>
    </xf>
    <xf numFmtId="2" fontId="12" fillId="0" borderId="5" xfId="0" applyNumberFormat="1" applyFont="1" applyFill="1" applyBorder="1" applyAlignment="1" applyProtection="1">
      <alignment horizontal="center" vertical="center"/>
    </xf>
    <xf numFmtId="14" fontId="12" fillId="0" borderId="8" xfId="0" applyNumberFormat="1" applyFont="1" applyFill="1" applyBorder="1" applyAlignment="1" applyProtection="1">
      <alignment horizontal="center" vertical="center"/>
    </xf>
    <xf numFmtId="2" fontId="12" fillId="0" borderId="8" xfId="0" applyNumberFormat="1" applyFont="1" applyFill="1" applyBorder="1" applyAlignment="1" applyProtection="1">
      <alignment horizontal="center" vertical="center"/>
    </xf>
    <xf numFmtId="14" fontId="12" fillId="0" borderId="6" xfId="0" applyNumberFormat="1" applyFont="1" applyFill="1" applyBorder="1" applyAlignment="1" applyProtection="1">
      <alignment horizontal="center" vertical="center"/>
      <protection locked="0"/>
    </xf>
    <xf numFmtId="14" fontId="12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10" fontId="9" fillId="0" borderId="6" xfId="1" applyNumberFormat="1" applyFont="1" applyFill="1" applyBorder="1" applyAlignment="1" applyProtection="1">
      <alignment horizontal="center" vertical="center"/>
      <protection locked="0"/>
    </xf>
    <xf numFmtId="0" fontId="12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Yüzde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44"/>
  <sheetViews>
    <sheetView zoomScale="115" zoomScaleNormal="115" workbookViewId="0">
      <pane ySplit="2" topLeftCell="A3" activePane="bottomLeft" state="frozen"/>
      <selection pane="bottomLeft" activeCell="C8" sqref="B8:C8"/>
    </sheetView>
  </sheetViews>
  <sheetFormatPr defaultRowHeight="14.4" x14ac:dyDescent="0.3"/>
  <cols>
    <col min="1" max="1" width="5.69921875" style="1" customWidth="1"/>
    <col min="2" max="3" width="20.69921875" style="1" customWidth="1"/>
    <col min="4" max="4" width="25.69921875" style="1" customWidth="1"/>
    <col min="5" max="5" width="45.69921875" style="4" customWidth="1"/>
    <col min="6" max="16384" width="8.796875" style="1"/>
  </cols>
  <sheetData>
    <row r="2" spans="2:5" s="2" customFormat="1" ht="19.95" customHeight="1" x14ac:dyDescent="0.3">
      <c r="B2" s="12" t="s">
        <v>86</v>
      </c>
      <c r="C2" s="12" t="s">
        <v>85</v>
      </c>
      <c r="D2" s="12" t="s">
        <v>33</v>
      </c>
      <c r="E2" s="12" t="s">
        <v>1</v>
      </c>
    </row>
    <row r="3" spans="2:5" ht="19.95" customHeight="1" x14ac:dyDescent="0.3">
      <c r="B3" s="3" t="s">
        <v>82</v>
      </c>
      <c r="C3" s="3" t="s">
        <v>72</v>
      </c>
      <c r="D3" s="1" t="s">
        <v>4</v>
      </c>
      <c r="E3" s="4" t="s">
        <v>35</v>
      </c>
    </row>
    <row r="4" spans="2:5" ht="19.95" customHeight="1" x14ac:dyDescent="0.3">
      <c r="B4" s="3" t="s">
        <v>83</v>
      </c>
      <c r="C4" s="3" t="s">
        <v>73</v>
      </c>
      <c r="D4" s="1" t="s">
        <v>7</v>
      </c>
      <c r="E4" s="4" t="s">
        <v>36</v>
      </c>
    </row>
    <row r="5" spans="2:5" ht="19.95" customHeight="1" x14ac:dyDescent="0.3">
      <c r="B5" s="3" t="s">
        <v>84</v>
      </c>
      <c r="C5" s="3" t="s">
        <v>74</v>
      </c>
      <c r="D5" s="1" t="s">
        <v>5</v>
      </c>
      <c r="E5" s="4" t="s">
        <v>37</v>
      </c>
    </row>
    <row r="6" spans="2:5" ht="19.95" customHeight="1" x14ac:dyDescent="0.3">
      <c r="B6" s="3" t="s">
        <v>79</v>
      </c>
      <c r="C6" s="3" t="s">
        <v>75</v>
      </c>
      <c r="D6" s="1" t="s">
        <v>6</v>
      </c>
      <c r="E6" s="6" t="s">
        <v>38</v>
      </c>
    </row>
    <row r="7" spans="2:5" ht="19.95" customHeight="1" x14ac:dyDescent="0.3">
      <c r="B7" s="3" t="s">
        <v>80</v>
      </c>
      <c r="C7" s="3" t="s">
        <v>76</v>
      </c>
      <c r="E7" s="5" t="s">
        <v>115</v>
      </c>
    </row>
    <row r="8" spans="2:5" ht="19.95" customHeight="1" x14ac:dyDescent="0.3">
      <c r="B8" s="3" t="s">
        <v>77</v>
      </c>
      <c r="E8" s="5" t="s">
        <v>39</v>
      </c>
    </row>
    <row r="9" spans="2:5" ht="19.95" customHeight="1" x14ac:dyDescent="0.3">
      <c r="B9" s="3" t="s">
        <v>81</v>
      </c>
      <c r="E9" s="7" t="s">
        <v>125</v>
      </c>
    </row>
    <row r="10" spans="2:5" ht="19.95" customHeight="1" x14ac:dyDescent="0.3">
      <c r="B10" s="3" t="s">
        <v>78</v>
      </c>
      <c r="E10" s="7" t="s">
        <v>126</v>
      </c>
    </row>
    <row r="11" spans="2:5" ht="19.95" customHeight="1" x14ac:dyDescent="0.3">
      <c r="B11" s="3"/>
      <c r="E11" s="4" t="s">
        <v>40</v>
      </c>
    </row>
    <row r="12" spans="2:5" ht="19.95" customHeight="1" x14ac:dyDescent="0.3">
      <c r="E12" s="9" t="s">
        <v>140</v>
      </c>
    </row>
    <row r="13" spans="2:5" ht="19.95" customHeight="1" x14ac:dyDescent="0.3">
      <c r="E13" s="9" t="s">
        <v>138</v>
      </c>
    </row>
    <row r="14" spans="2:5" ht="19.95" customHeight="1" x14ac:dyDescent="0.3">
      <c r="E14" s="9" t="s">
        <v>137</v>
      </c>
    </row>
    <row r="15" spans="2:5" ht="19.95" customHeight="1" x14ac:dyDescent="0.3">
      <c r="E15" s="4" t="s">
        <v>41</v>
      </c>
    </row>
    <row r="16" spans="2:5" ht="19.95" customHeight="1" x14ac:dyDescent="0.3">
      <c r="E16" s="4" t="s">
        <v>42</v>
      </c>
    </row>
    <row r="17" spans="5:5" ht="19.95" customHeight="1" x14ac:dyDescent="0.3">
      <c r="E17" s="5" t="s">
        <v>113</v>
      </c>
    </row>
    <row r="18" spans="5:5" ht="19.95" customHeight="1" x14ac:dyDescent="0.3">
      <c r="E18" s="4" t="s">
        <v>43</v>
      </c>
    </row>
    <row r="19" spans="5:5" ht="19.95" customHeight="1" x14ac:dyDescent="0.3">
      <c r="E19" s="4" t="s">
        <v>44</v>
      </c>
    </row>
    <row r="20" spans="5:5" ht="19.95" customHeight="1" x14ac:dyDescent="0.3">
      <c r="E20" s="9" t="s">
        <v>148</v>
      </c>
    </row>
    <row r="21" spans="5:5" ht="19.95" customHeight="1" x14ac:dyDescent="0.3">
      <c r="E21" s="4" t="s">
        <v>45</v>
      </c>
    </row>
    <row r="22" spans="5:5" ht="19.95" customHeight="1" x14ac:dyDescent="0.3">
      <c r="E22" s="5" t="s">
        <v>114</v>
      </c>
    </row>
    <row r="23" spans="5:5" ht="19.95" customHeight="1" x14ac:dyDescent="0.3">
      <c r="E23" s="4" t="s">
        <v>10</v>
      </c>
    </row>
    <row r="24" spans="5:5" ht="19.95" customHeight="1" x14ac:dyDescent="0.3">
      <c r="E24" s="6" t="s">
        <v>46</v>
      </c>
    </row>
    <row r="25" spans="5:5" ht="20.399999999999999" customHeight="1" x14ac:dyDescent="0.3">
      <c r="E25" s="6" t="s">
        <v>11</v>
      </c>
    </row>
    <row r="26" spans="5:5" ht="19.95" customHeight="1" x14ac:dyDescent="0.3">
      <c r="E26" s="7" t="s">
        <v>99</v>
      </c>
    </row>
    <row r="27" spans="5:5" ht="19.95" customHeight="1" x14ac:dyDescent="0.3">
      <c r="E27" s="6" t="s">
        <v>47</v>
      </c>
    </row>
    <row r="28" spans="5:5" ht="19.95" customHeight="1" x14ac:dyDescent="0.3">
      <c r="E28" s="7" t="s">
        <v>100</v>
      </c>
    </row>
    <row r="29" spans="5:5" ht="19.95" customHeight="1" x14ac:dyDescent="0.3">
      <c r="E29" s="6" t="s">
        <v>22</v>
      </c>
    </row>
    <row r="30" spans="5:5" ht="19.95" customHeight="1" x14ac:dyDescent="0.3">
      <c r="E30" s="6" t="s">
        <v>20</v>
      </c>
    </row>
    <row r="31" spans="5:5" ht="19.95" customHeight="1" x14ac:dyDescent="0.3">
      <c r="E31" s="7" t="s">
        <v>127</v>
      </c>
    </row>
    <row r="32" spans="5:5" ht="19.95" customHeight="1" x14ac:dyDescent="0.3">
      <c r="E32" s="16" t="s">
        <v>288</v>
      </c>
    </row>
    <row r="33" spans="5:5" ht="19.95" customHeight="1" x14ac:dyDescent="0.3">
      <c r="E33" s="6" t="s">
        <v>21</v>
      </c>
    </row>
    <row r="34" spans="5:5" ht="19.95" customHeight="1" x14ac:dyDescent="0.3">
      <c r="E34" s="7" t="s">
        <v>101</v>
      </c>
    </row>
    <row r="35" spans="5:5" ht="19.95" customHeight="1" x14ac:dyDescent="0.3">
      <c r="E35" s="6" t="s">
        <v>48</v>
      </c>
    </row>
    <row r="36" spans="5:5" ht="19.95" customHeight="1" x14ac:dyDescent="0.3">
      <c r="E36" s="7" t="s">
        <v>98</v>
      </c>
    </row>
    <row r="37" spans="5:5" ht="19.95" customHeight="1" x14ac:dyDescent="0.3">
      <c r="E37" s="6" t="s">
        <v>14</v>
      </c>
    </row>
    <row r="38" spans="5:5" ht="19.95" customHeight="1" x14ac:dyDescent="0.3">
      <c r="E38" s="7" t="s">
        <v>102</v>
      </c>
    </row>
    <row r="39" spans="5:5" ht="19.95" customHeight="1" x14ac:dyDescent="0.3">
      <c r="E39" s="7" t="s">
        <v>29</v>
      </c>
    </row>
    <row r="40" spans="5:5" ht="19.95" customHeight="1" x14ac:dyDescent="0.3">
      <c r="E40" s="7" t="s">
        <v>103</v>
      </c>
    </row>
    <row r="41" spans="5:5" ht="19.95" customHeight="1" x14ac:dyDescent="0.3">
      <c r="E41" s="6" t="s">
        <v>49</v>
      </c>
    </row>
    <row r="42" spans="5:5" ht="19.95" customHeight="1" x14ac:dyDescent="0.3">
      <c r="E42" s="7" t="s">
        <v>128</v>
      </c>
    </row>
    <row r="43" spans="5:5" ht="19.95" customHeight="1" x14ac:dyDescent="0.3">
      <c r="E43" s="10" t="s">
        <v>143</v>
      </c>
    </row>
    <row r="44" spans="5:5" ht="19.95" customHeight="1" x14ac:dyDescent="0.3">
      <c r="E44" s="6" t="s">
        <v>13</v>
      </c>
    </row>
    <row r="45" spans="5:5" ht="19.95" customHeight="1" x14ac:dyDescent="0.3">
      <c r="E45" s="6" t="s">
        <v>50</v>
      </c>
    </row>
    <row r="46" spans="5:5" ht="19.95" customHeight="1" x14ac:dyDescent="0.3">
      <c r="E46" s="6" t="s">
        <v>51</v>
      </c>
    </row>
    <row r="47" spans="5:5" ht="19.95" customHeight="1" x14ac:dyDescent="0.3">
      <c r="E47" s="6" t="s">
        <v>19</v>
      </c>
    </row>
    <row r="48" spans="5:5" ht="19.95" customHeight="1" x14ac:dyDescent="0.3">
      <c r="E48" s="16" t="s">
        <v>255</v>
      </c>
    </row>
    <row r="49" spans="5:5" ht="19.95" customHeight="1" x14ac:dyDescent="0.3">
      <c r="E49" s="16" t="s">
        <v>256</v>
      </c>
    </row>
    <row r="50" spans="5:5" ht="19.95" customHeight="1" x14ac:dyDescent="0.3">
      <c r="E50" s="6" t="s">
        <v>25</v>
      </c>
    </row>
    <row r="51" spans="5:5" ht="19.95" customHeight="1" x14ac:dyDescent="0.3">
      <c r="E51" s="6" t="s">
        <v>26</v>
      </c>
    </row>
    <row r="52" spans="5:5" ht="19.95" customHeight="1" x14ac:dyDescent="0.3">
      <c r="E52" s="7" t="s">
        <v>110</v>
      </c>
    </row>
    <row r="53" spans="5:5" ht="19.95" customHeight="1" x14ac:dyDescent="0.3">
      <c r="E53" s="10" t="s">
        <v>144</v>
      </c>
    </row>
    <row r="54" spans="5:5" ht="19.95" customHeight="1" x14ac:dyDescent="0.3">
      <c r="E54" s="10" t="s">
        <v>145</v>
      </c>
    </row>
    <row r="55" spans="5:5" ht="19.95" customHeight="1" x14ac:dyDescent="0.3">
      <c r="E55" s="7" t="s">
        <v>107</v>
      </c>
    </row>
    <row r="56" spans="5:5" ht="19.95" customHeight="1" x14ac:dyDescent="0.3">
      <c r="E56" s="7" t="s">
        <v>106</v>
      </c>
    </row>
    <row r="57" spans="5:5" ht="19.95" customHeight="1" x14ac:dyDescent="0.3">
      <c r="E57" s="7" t="s">
        <v>108</v>
      </c>
    </row>
    <row r="58" spans="5:5" ht="19.95" customHeight="1" x14ac:dyDescent="0.3">
      <c r="E58" s="7" t="s">
        <v>109</v>
      </c>
    </row>
    <row r="59" spans="5:5" ht="19.95" customHeight="1" x14ac:dyDescent="0.3">
      <c r="E59" s="10" t="s">
        <v>146</v>
      </c>
    </row>
    <row r="60" spans="5:5" ht="19.95" customHeight="1" x14ac:dyDescent="0.3">
      <c r="E60" s="10" t="s">
        <v>147</v>
      </c>
    </row>
    <row r="61" spans="5:5" ht="19.95" customHeight="1" x14ac:dyDescent="0.3">
      <c r="E61" s="4" t="s">
        <v>52</v>
      </c>
    </row>
    <row r="62" spans="5:5" ht="19.95" customHeight="1" x14ac:dyDescent="0.3">
      <c r="E62" s="4" t="s">
        <v>53</v>
      </c>
    </row>
    <row r="63" spans="5:5" ht="19.95" customHeight="1" x14ac:dyDescent="0.3">
      <c r="E63" s="4" t="s">
        <v>54</v>
      </c>
    </row>
    <row r="64" spans="5:5" ht="19.95" customHeight="1" x14ac:dyDescent="0.3">
      <c r="E64" s="4" t="s">
        <v>55</v>
      </c>
    </row>
    <row r="65" spans="5:5" ht="19.95" customHeight="1" x14ac:dyDescent="0.3">
      <c r="E65" s="4" t="s">
        <v>28</v>
      </c>
    </row>
    <row r="66" spans="5:5" ht="19.95" customHeight="1" x14ac:dyDescent="0.3">
      <c r="E66" s="4" t="s">
        <v>56</v>
      </c>
    </row>
    <row r="67" spans="5:5" ht="19.95" customHeight="1" x14ac:dyDescent="0.3">
      <c r="E67" s="4" t="s">
        <v>27</v>
      </c>
    </row>
    <row r="68" spans="5:5" ht="19.95" customHeight="1" x14ac:dyDescent="0.3">
      <c r="E68" s="5" t="s">
        <v>124</v>
      </c>
    </row>
    <row r="69" spans="5:5" ht="19.95" customHeight="1" x14ac:dyDescent="0.3">
      <c r="E69" s="5" t="s">
        <v>119</v>
      </c>
    </row>
    <row r="70" spans="5:5" ht="19.95" customHeight="1" x14ac:dyDescent="0.3">
      <c r="E70" s="5" t="s">
        <v>118</v>
      </c>
    </row>
    <row r="71" spans="5:5" ht="19.95" customHeight="1" x14ac:dyDescent="0.3">
      <c r="E71" s="4" t="s">
        <v>57</v>
      </c>
    </row>
    <row r="72" spans="5:5" ht="19.95" customHeight="1" x14ac:dyDescent="0.3">
      <c r="E72" s="9" t="s">
        <v>136</v>
      </c>
    </row>
    <row r="73" spans="5:5" ht="19.95" customHeight="1" x14ac:dyDescent="0.3">
      <c r="E73" s="4" t="s">
        <v>58</v>
      </c>
    </row>
    <row r="74" spans="5:5" ht="19.95" customHeight="1" x14ac:dyDescent="0.3">
      <c r="E74" s="4" t="s">
        <v>59</v>
      </c>
    </row>
    <row r="75" spans="5:5" ht="19.95" customHeight="1" x14ac:dyDescent="0.3">
      <c r="E75" s="6" t="s">
        <v>60</v>
      </c>
    </row>
    <row r="76" spans="5:5" ht="19.95" customHeight="1" x14ac:dyDescent="0.3">
      <c r="E76" s="4" t="s">
        <v>61</v>
      </c>
    </row>
    <row r="77" spans="5:5" ht="19.95" customHeight="1" x14ac:dyDescent="0.3">
      <c r="E77" s="4" t="s">
        <v>23</v>
      </c>
    </row>
    <row r="78" spans="5:5" ht="19.95" customHeight="1" x14ac:dyDescent="0.3">
      <c r="E78" s="4" t="s">
        <v>62</v>
      </c>
    </row>
    <row r="79" spans="5:5" ht="19.95" customHeight="1" x14ac:dyDescent="0.3">
      <c r="E79" s="4" t="s">
        <v>15</v>
      </c>
    </row>
    <row r="80" spans="5:5" ht="19.95" customHeight="1" x14ac:dyDescent="0.3">
      <c r="E80" s="16" t="s">
        <v>257</v>
      </c>
    </row>
    <row r="81" spans="5:5" ht="19.95" customHeight="1" x14ac:dyDescent="0.3">
      <c r="E81" s="7" t="s">
        <v>112</v>
      </c>
    </row>
    <row r="82" spans="5:5" ht="19.95" customHeight="1" x14ac:dyDescent="0.3">
      <c r="E82" s="16" t="s">
        <v>258</v>
      </c>
    </row>
    <row r="83" spans="5:5" ht="19.95" customHeight="1" x14ac:dyDescent="0.3">
      <c r="E83" s="16" t="s">
        <v>259</v>
      </c>
    </row>
    <row r="84" spans="5:5" ht="19.95" customHeight="1" x14ac:dyDescent="0.3">
      <c r="E84" s="10" t="s">
        <v>139</v>
      </c>
    </row>
    <row r="85" spans="5:5" ht="19.95" customHeight="1" x14ac:dyDescent="0.3">
      <c r="E85" s="16" t="s">
        <v>260</v>
      </c>
    </row>
    <row r="86" spans="5:5" ht="19.95" customHeight="1" x14ac:dyDescent="0.3">
      <c r="E86" s="4" t="s">
        <v>16</v>
      </c>
    </row>
    <row r="87" spans="5:5" ht="19.95" customHeight="1" x14ac:dyDescent="0.3">
      <c r="E87" s="4" t="s">
        <v>17</v>
      </c>
    </row>
    <row r="88" spans="5:5" ht="19.95" customHeight="1" x14ac:dyDescent="0.3">
      <c r="E88" s="4" t="s">
        <v>63</v>
      </c>
    </row>
    <row r="89" spans="5:5" ht="19.95" customHeight="1" x14ac:dyDescent="0.3">
      <c r="E89" s="15" t="s">
        <v>254</v>
      </c>
    </row>
    <row r="90" spans="5:5" ht="19.95" customHeight="1" x14ac:dyDescent="0.3">
      <c r="E90" s="4" t="s">
        <v>32</v>
      </c>
    </row>
    <row r="91" spans="5:5" ht="19.95" customHeight="1" x14ac:dyDescent="0.3">
      <c r="E91" s="4" t="s">
        <v>64</v>
      </c>
    </row>
    <row r="92" spans="5:5" ht="19.95" customHeight="1" x14ac:dyDescent="0.3">
      <c r="E92" s="6" t="s">
        <v>65</v>
      </c>
    </row>
    <row r="93" spans="5:5" ht="19.95" customHeight="1" x14ac:dyDescent="0.3">
      <c r="E93" s="4" t="s">
        <v>24</v>
      </c>
    </row>
    <row r="94" spans="5:5" ht="19.95" customHeight="1" x14ac:dyDescent="0.3">
      <c r="E94" s="4" t="s">
        <v>66</v>
      </c>
    </row>
    <row r="95" spans="5:5" ht="19.95" customHeight="1" x14ac:dyDescent="0.3">
      <c r="E95" s="8" t="s">
        <v>133</v>
      </c>
    </row>
    <row r="96" spans="5:5" ht="19.95" customHeight="1" x14ac:dyDescent="0.3">
      <c r="E96" s="4" t="s">
        <v>67</v>
      </c>
    </row>
    <row r="97" spans="5:5" ht="19.95" customHeight="1" x14ac:dyDescent="0.3">
      <c r="E97" s="4" t="s">
        <v>12</v>
      </c>
    </row>
    <row r="98" spans="5:5" ht="19.95" customHeight="1" x14ac:dyDescent="0.3">
      <c r="E98" s="4" t="s">
        <v>18</v>
      </c>
    </row>
    <row r="99" spans="5:5" ht="19.95" customHeight="1" x14ac:dyDescent="0.3">
      <c r="E99" s="5" t="s">
        <v>111</v>
      </c>
    </row>
    <row r="100" spans="5:5" ht="19.95" customHeight="1" x14ac:dyDescent="0.3">
      <c r="E100" s="5" t="s">
        <v>122</v>
      </c>
    </row>
    <row r="101" spans="5:5" ht="19.95" customHeight="1" x14ac:dyDescent="0.3">
      <c r="E101" s="5" t="s">
        <v>123</v>
      </c>
    </row>
    <row r="102" spans="5:5" ht="19.95" customHeight="1" x14ac:dyDescent="0.3">
      <c r="E102" s="9" t="s">
        <v>134</v>
      </c>
    </row>
    <row r="103" spans="5:5" ht="19.95" customHeight="1" x14ac:dyDescent="0.3">
      <c r="E103" s="4" t="s">
        <v>68</v>
      </c>
    </row>
    <row r="104" spans="5:5" ht="19.95" customHeight="1" x14ac:dyDescent="0.3">
      <c r="E104" s="4" t="s">
        <v>31</v>
      </c>
    </row>
    <row r="105" spans="5:5" ht="19.95" customHeight="1" x14ac:dyDescent="0.3">
      <c r="E105" s="4" t="s">
        <v>69</v>
      </c>
    </row>
    <row r="106" spans="5:5" ht="19.95" customHeight="1" x14ac:dyDescent="0.3">
      <c r="E106" s="9" t="s">
        <v>141</v>
      </c>
    </row>
    <row r="107" spans="5:5" ht="19.95" customHeight="1" x14ac:dyDescent="0.3">
      <c r="E107" s="9" t="s">
        <v>142</v>
      </c>
    </row>
    <row r="108" spans="5:5" ht="19.95" customHeight="1" x14ac:dyDescent="0.3">
      <c r="E108" s="4" t="s">
        <v>30</v>
      </c>
    </row>
    <row r="109" spans="5:5" ht="19.95" customHeight="1" x14ac:dyDescent="0.3">
      <c r="E109" s="5" t="s">
        <v>104</v>
      </c>
    </row>
    <row r="110" spans="5:5" ht="19.95" customHeight="1" x14ac:dyDescent="0.3">
      <c r="E110" s="17" t="s">
        <v>129</v>
      </c>
    </row>
    <row r="111" spans="5:5" ht="19.95" customHeight="1" x14ac:dyDescent="0.3">
      <c r="E111" s="17" t="s">
        <v>130</v>
      </c>
    </row>
    <row r="112" spans="5:5" ht="19.95" customHeight="1" x14ac:dyDescent="0.3">
      <c r="E112" s="15" t="s">
        <v>70</v>
      </c>
    </row>
    <row r="113" spans="5:5" ht="19.95" customHeight="1" x14ac:dyDescent="0.3">
      <c r="E113" s="5" t="s">
        <v>105</v>
      </c>
    </row>
    <row r="114" spans="5:5" ht="19.95" customHeight="1" x14ac:dyDescent="0.3">
      <c r="E114" s="7" t="s">
        <v>121</v>
      </c>
    </row>
    <row r="115" spans="5:5" ht="19.95" customHeight="1" x14ac:dyDescent="0.3">
      <c r="E115" s="5" t="s">
        <v>116</v>
      </c>
    </row>
    <row r="116" spans="5:5" ht="19.95" customHeight="1" x14ac:dyDescent="0.3">
      <c r="E116" s="5" t="s">
        <v>117</v>
      </c>
    </row>
    <row r="117" spans="5:5" ht="19.95" customHeight="1" x14ac:dyDescent="0.3">
      <c r="E117" s="5" t="s">
        <v>120</v>
      </c>
    </row>
    <row r="118" spans="5:5" ht="19.95" customHeight="1" x14ac:dyDescent="0.3">
      <c r="E118" s="18" t="s">
        <v>71</v>
      </c>
    </row>
    <row r="119" spans="5:5" ht="19.95" customHeight="1" x14ac:dyDescent="0.3">
      <c r="E119" s="18" t="s">
        <v>291</v>
      </c>
    </row>
    <row r="120" spans="5:5" ht="19.95" customHeight="1" x14ac:dyDescent="0.3">
      <c r="E120" s="18" t="s">
        <v>294</v>
      </c>
    </row>
    <row r="121" spans="5:5" ht="19.95" customHeight="1" x14ac:dyDescent="0.3">
      <c r="E121" s="18" t="s">
        <v>304</v>
      </c>
    </row>
    <row r="122" spans="5:5" ht="19.95" customHeight="1" x14ac:dyDescent="0.3">
      <c r="E122" s="18" t="s">
        <v>292</v>
      </c>
    </row>
    <row r="123" spans="5:5" ht="19.95" customHeight="1" x14ac:dyDescent="0.3">
      <c r="E123" s="18" t="s">
        <v>300</v>
      </c>
    </row>
    <row r="124" spans="5:5" ht="19.95" customHeight="1" x14ac:dyDescent="0.3">
      <c r="E124" s="18" t="s">
        <v>301</v>
      </c>
    </row>
    <row r="125" spans="5:5" ht="19.95" customHeight="1" x14ac:dyDescent="0.3">
      <c r="E125" s="18" t="s">
        <v>302</v>
      </c>
    </row>
    <row r="126" spans="5:5" ht="19.95" customHeight="1" x14ac:dyDescent="0.3">
      <c r="E126" s="18" t="s">
        <v>303</v>
      </c>
    </row>
    <row r="127" spans="5:5" ht="19.95" customHeight="1" x14ac:dyDescent="0.3">
      <c r="E127" s="18" t="s">
        <v>293</v>
      </c>
    </row>
    <row r="128" spans="5:5" ht="19.95" customHeight="1" x14ac:dyDescent="0.3">
      <c r="E128" s="18" t="s">
        <v>297</v>
      </c>
    </row>
    <row r="129" spans="5:5" ht="19.95" customHeight="1" x14ac:dyDescent="0.3">
      <c r="E129" s="18" t="s">
        <v>295</v>
      </c>
    </row>
    <row r="130" spans="5:5" ht="19.95" customHeight="1" x14ac:dyDescent="0.3">
      <c r="E130" s="18" t="s">
        <v>296</v>
      </c>
    </row>
    <row r="131" spans="5:5" ht="19.95" customHeight="1" x14ac:dyDescent="0.3">
      <c r="E131" s="18" t="s">
        <v>298</v>
      </c>
    </row>
    <row r="132" spans="5:5" ht="19.95" customHeight="1" x14ac:dyDescent="0.3">
      <c r="E132" s="18" t="s">
        <v>299</v>
      </c>
    </row>
    <row r="133" spans="5:5" ht="19.95" customHeight="1" x14ac:dyDescent="0.3">
      <c r="E133" s="19" t="s">
        <v>306</v>
      </c>
    </row>
    <row r="134" spans="5:5" ht="19.95" customHeight="1" x14ac:dyDescent="0.3">
      <c r="E134" s="19" t="s">
        <v>307</v>
      </c>
    </row>
    <row r="135" spans="5:5" ht="19.95" customHeight="1" x14ac:dyDescent="0.3">
      <c r="E135" s="19" t="s">
        <v>305</v>
      </c>
    </row>
    <row r="136" spans="5:5" ht="19.95" customHeight="1" x14ac:dyDescent="0.3">
      <c r="E136" s="19" t="s">
        <v>343</v>
      </c>
    </row>
    <row r="137" spans="5:5" ht="19.95" customHeight="1" x14ac:dyDescent="0.3">
      <c r="E137" s="19" t="s">
        <v>308</v>
      </c>
    </row>
    <row r="138" spans="5:5" ht="19.95" customHeight="1" x14ac:dyDescent="0.3">
      <c r="E138" s="19" t="s">
        <v>309</v>
      </c>
    </row>
    <row r="139" spans="5:5" ht="19.95" customHeight="1" x14ac:dyDescent="0.3">
      <c r="E139" s="19" t="s">
        <v>310</v>
      </c>
    </row>
    <row r="140" spans="5:5" ht="19.95" customHeight="1" x14ac:dyDescent="0.3">
      <c r="E140" s="19" t="s">
        <v>311</v>
      </c>
    </row>
    <row r="141" spans="5:5" ht="19.95" customHeight="1" x14ac:dyDescent="0.3">
      <c r="E141" s="19" t="s">
        <v>313</v>
      </c>
    </row>
    <row r="142" spans="5:5" ht="19.95" customHeight="1" x14ac:dyDescent="0.3">
      <c r="E142" s="19" t="s">
        <v>312</v>
      </c>
    </row>
    <row r="143" spans="5:5" ht="19.95" customHeight="1" x14ac:dyDescent="0.3">
      <c r="E143" s="19" t="s">
        <v>314</v>
      </c>
    </row>
    <row r="144" spans="5:5" ht="19.95" customHeight="1" x14ac:dyDescent="0.3">
      <c r="E144" s="10" t="s">
        <v>135</v>
      </c>
    </row>
  </sheetData>
  <autoFilter ref="B2:E144" xr:uid="{51482359-429B-4C63-9A39-FFC4D42F41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721E-92C0-4956-9CDD-4E298F20392C}">
  <dimension ref="B1:Q145"/>
  <sheetViews>
    <sheetView zoomScale="85" zoomScaleNormal="85" workbookViewId="0">
      <pane ySplit="2" topLeftCell="A3" activePane="bottomLeft" state="frozen"/>
      <selection activeCell="C1" sqref="C1"/>
      <selection pane="bottomLeft" activeCell="H3" sqref="H3"/>
    </sheetView>
  </sheetViews>
  <sheetFormatPr defaultRowHeight="14.4" outlineLevelCol="1" x14ac:dyDescent="0.3"/>
  <cols>
    <col min="1" max="1" width="5.69921875" style="20" customWidth="1"/>
    <col min="2" max="2" width="15.69921875" style="20" customWidth="1" outlineLevel="1"/>
    <col min="3" max="4" width="10.69921875" style="20" customWidth="1" outlineLevel="1"/>
    <col min="5" max="5" width="15.69921875" style="20" customWidth="1"/>
    <col min="6" max="6" width="45.69921875" style="20" customWidth="1"/>
    <col min="7" max="8" width="14.69921875" style="20" customWidth="1" outlineLevel="1"/>
    <col min="9" max="16" width="14.69921875" style="20" customWidth="1"/>
    <col min="17" max="17" width="40.69921875" style="30" customWidth="1"/>
    <col min="18" max="19" width="8.796875" style="20" customWidth="1"/>
    <col min="20" max="16384" width="8.796875" style="20"/>
  </cols>
  <sheetData>
    <row r="1" spans="2:17" x14ac:dyDescent="0.3">
      <c r="E1" s="21">
        <v>1</v>
      </c>
      <c r="F1" s="21">
        <v>2</v>
      </c>
      <c r="G1" s="21">
        <v>3</v>
      </c>
      <c r="H1" s="21">
        <v>4</v>
      </c>
      <c r="I1" s="21">
        <v>5</v>
      </c>
      <c r="J1" s="21">
        <v>6</v>
      </c>
      <c r="K1" s="21">
        <v>7</v>
      </c>
      <c r="L1" s="21">
        <v>8</v>
      </c>
      <c r="M1" s="21">
        <v>9</v>
      </c>
      <c r="N1" s="21">
        <v>10</v>
      </c>
      <c r="O1" s="21">
        <v>11</v>
      </c>
      <c r="P1" s="21">
        <v>12</v>
      </c>
      <c r="Q1" s="21">
        <v>13</v>
      </c>
    </row>
    <row r="2" spans="2:17" s="30" customFormat="1" ht="40.049999999999997" customHeight="1" x14ac:dyDescent="0.3">
      <c r="B2" s="22" t="s">
        <v>149</v>
      </c>
      <c r="C2" s="22" t="s">
        <v>34</v>
      </c>
      <c r="D2" s="22" t="s">
        <v>241</v>
      </c>
      <c r="E2" s="22" t="s">
        <v>1</v>
      </c>
      <c r="F2" s="22" t="s">
        <v>249</v>
      </c>
      <c r="G2" s="22" t="s">
        <v>242</v>
      </c>
      <c r="H2" s="22" t="s">
        <v>243</v>
      </c>
      <c r="I2" s="22" t="s">
        <v>9</v>
      </c>
      <c r="J2" s="23" t="s">
        <v>132</v>
      </c>
      <c r="K2" s="24" t="s">
        <v>251</v>
      </c>
      <c r="L2" s="25" t="s">
        <v>8</v>
      </c>
      <c r="M2" s="26" t="s">
        <v>2</v>
      </c>
      <c r="N2" s="27" t="s">
        <v>131</v>
      </c>
      <c r="O2" s="28" t="s">
        <v>252</v>
      </c>
      <c r="P2" s="29" t="s">
        <v>253</v>
      </c>
      <c r="Q2" s="22" t="s">
        <v>0</v>
      </c>
    </row>
    <row r="3" spans="2:17" ht="19.95" customHeight="1" x14ac:dyDescent="0.3">
      <c r="B3" s="52" t="str">
        <f>'Satınalma Takvimi Veri Girişi'!$B$1</f>
        <v>3028 - MONA</v>
      </c>
      <c r="C3" s="32" t="s">
        <v>150</v>
      </c>
      <c r="D3" s="32">
        <v>1</v>
      </c>
      <c r="E3" s="33" t="str">
        <f>CONCATENATE("IHL.",LEFT(B3,4),".",C3,"/",D3)</f>
        <v>IHL.3028.001/1</v>
      </c>
      <c r="F3" s="31" t="s">
        <v>137</v>
      </c>
      <c r="G3" s="34" t="s">
        <v>246</v>
      </c>
      <c r="H3" s="34" t="s">
        <v>244</v>
      </c>
      <c r="I3" s="35">
        <v>0</v>
      </c>
      <c r="J3" s="36">
        <v>14</v>
      </c>
      <c r="K3" s="37">
        <v>7</v>
      </c>
      <c r="L3" s="38">
        <v>14</v>
      </c>
      <c r="M3" s="39">
        <v>7</v>
      </c>
      <c r="N3" s="40">
        <v>7</v>
      </c>
      <c r="O3" s="41">
        <v>0</v>
      </c>
      <c r="P3" s="42">
        <v>7</v>
      </c>
      <c r="Q3" s="53"/>
    </row>
    <row r="4" spans="2:17" ht="19.95" customHeight="1" x14ac:dyDescent="0.3">
      <c r="B4" s="52" t="str">
        <f>'Satınalma Takvimi Veri Girişi'!$B$1</f>
        <v>3028 - MONA</v>
      </c>
      <c r="C4" s="32" t="s">
        <v>151</v>
      </c>
      <c r="D4" s="32">
        <v>1</v>
      </c>
      <c r="E4" s="33" t="str">
        <f t="shared" ref="E4:E77" si="0">CONCATENATE("IHL.",LEFT(B4,4),".",C4,"/",D4)</f>
        <v>IHL.3028.002/1</v>
      </c>
      <c r="F4" s="31" t="s">
        <v>140</v>
      </c>
      <c r="G4" s="34" t="s">
        <v>247</v>
      </c>
      <c r="H4" s="34" t="s">
        <v>244</v>
      </c>
      <c r="I4" s="35">
        <v>0</v>
      </c>
      <c r="J4" s="36">
        <v>14</v>
      </c>
      <c r="K4" s="37">
        <v>7</v>
      </c>
      <c r="L4" s="38">
        <v>14</v>
      </c>
      <c r="M4" s="39">
        <v>7</v>
      </c>
      <c r="N4" s="40">
        <v>7</v>
      </c>
      <c r="O4" s="41">
        <v>0</v>
      </c>
      <c r="P4" s="42">
        <v>7</v>
      </c>
      <c r="Q4" s="53"/>
    </row>
    <row r="5" spans="2:17" ht="19.95" customHeight="1" x14ac:dyDescent="0.3">
      <c r="B5" s="52" t="str">
        <f>'Satınalma Takvimi Veri Girişi'!$B$1</f>
        <v>3028 - MONA</v>
      </c>
      <c r="C5" s="32" t="s">
        <v>152</v>
      </c>
      <c r="D5" s="32">
        <v>1</v>
      </c>
      <c r="E5" s="33" t="str">
        <f t="shared" si="0"/>
        <v>IHL.3028.003/1</v>
      </c>
      <c r="F5" s="31" t="s">
        <v>39</v>
      </c>
      <c r="G5" s="34" t="s">
        <v>247</v>
      </c>
      <c r="H5" s="34" t="s">
        <v>244</v>
      </c>
      <c r="I5" s="35">
        <v>0</v>
      </c>
      <c r="J5" s="36">
        <v>14</v>
      </c>
      <c r="K5" s="37">
        <v>7</v>
      </c>
      <c r="L5" s="38">
        <v>14</v>
      </c>
      <c r="M5" s="39">
        <v>7</v>
      </c>
      <c r="N5" s="40">
        <v>7</v>
      </c>
      <c r="O5" s="41">
        <v>0</v>
      </c>
      <c r="P5" s="42">
        <v>7</v>
      </c>
      <c r="Q5" s="53"/>
    </row>
    <row r="6" spans="2:17" ht="19.95" customHeight="1" x14ac:dyDescent="0.3">
      <c r="B6" s="52" t="str">
        <f>'Satınalma Takvimi Veri Girişi'!$B$1</f>
        <v>3028 - MONA</v>
      </c>
      <c r="C6" s="32" t="s">
        <v>153</v>
      </c>
      <c r="D6" s="32">
        <v>1</v>
      </c>
      <c r="E6" s="33" t="str">
        <f t="shared" si="0"/>
        <v>IHL.3028.004/1</v>
      </c>
      <c r="F6" s="31" t="s">
        <v>138</v>
      </c>
      <c r="G6" s="34" t="s">
        <v>247</v>
      </c>
      <c r="H6" s="34" t="s">
        <v>244</v>
      </c>
      <c r="I6" s="35">
        <v>0</v>
      </c>
      <c r="J6" s="36">
        <v>14</v>
      </c>
      <c r="K6" s="37">
        <v>7</v>
      </c>
      <c r="L6" s="38">
        <v>28</v>
      </c>
      <c r="M6" s="39">
        <v>7</v>
      </c>
      <c r="N6" s="40">
        <v>14</v>
      </c>
      <c r="O6" s="41">
        <v>7</v>
      </c>
      <c r="P6" s="42">
        <v>28</v>
      </c>
      <c r="Q6" s="53"/>
    </row>
    <row r="7" spans="2:17" ht="19.95" customHeight="1" x14ac:dyDescent="0.3">
      <c r="B7" s="52" t="str">
        <f>'Satınalma Takvimi Veri Girişi'!$B$1</f>
        <v>3028 - MONA</v>
      </c>
      <c r="C7" s="32" t="s">
        <v>154</v>
      </c>
      <c r="D7" s="32">
        <v>1</v>
      </c>
      <c r="E7" s="33" t="str">
        <f t="shared" si="0"/>
        <v>IHL.3028.005/1</v>
      </c>
      <c r="F7" s="31" t="s">
        <v>148</v>
      </c>
      <c r="G7" s="43" t="s">
        <v>247</v>
      </c>
      <c r="H7" s="34" t="s">
        <v>244</v>
      </c>
      <c r="I7" s="35"/>
      <c r="J7" s="36">
        <v>14</v>
      </c>
      <c r="K7" s="37">
        <v>7</v>
      </c>
      <c r="L7" s="38">
        <v>28</v>
      </c>
      <c r="M7" s="39">
        <v>7</v>
      </c>
      <c r="N7" s="40">
        <v>14</v>
      </c>
      <c r="O7" s="41">
        <v>0</v>
      </c>
      <c r="P7" s="42">
        <v>28</v>
      </c>
      <c r="Q7" s="53"/>
    </row>
    <row r="8" spans="2:17" ht="19.95" customHeight="1" x14ac:dyDescent="0.3">
      <c r="B8" s="52" t="str">
        <f>'Satınalma Takvimi Veri Girişi'!$B$1</f>
        <v>3028 - MONA</v>
      </c>
      <c r="C8" s="32" t="s">
        <v>155</v>
      </c>
      <c r="D8" s="32">
        <v>1</v>
      </c>
      <c r="E8" s="33" t="str">
        <f t="shared" si="0"/>
        <v>IHL.3028.006/1</v>
      </c>
      <c r="F8" s="31" t="s">
        <v>43</v>
      </c>
      <c r="G8" s="34" t="s">
        <v>245</v>
      </c>
      <c r="H8" s="34" t="s">
        <v>244</v>
      </c>
      <c r="I8" s="35"/>
      <c r="J8" s="36">
        <v>14</v>
      </c>
      <c r="K8" s="37">
        <v>14</v>
      </c>
      <c r="L8" s="38">
        <v>28</v>
      </c>
      <c r="M8" s="39">
        <v>10</v>
      </c>
      <c r="N8" s="40">
        <v>14</v>
      </c>
      <c r="O8" s="41">
        <v>0</v>
      </c>
      <c r="P8" s="42">
        <v>14</v>
      </c>
      <c r="Q8" s="53"/>
    </row>
    <row r="9" spans="2:17" ht="19.95" customHeight="1" x14ac:dyDescent="0.3">
      <c r="B9" s="52" t="str">
        <f>'Satınalma Takvimi Veri Girişi'!$B$1</f>
        <v>3028 - MONA</v>
      </c>
      <c r="C9" s="32" t="s">
        <v>156</v>
      </c>
      <c r="D9" s="32">
        <v>1</v>
      </c>
      <c r="E9" s="33" t="str">
        <f t="shared" si="0"/>
        <v>IHL.3028.007/1</v>
      </c>
      <c r="F9" s="31" t="s">
        <v>113</v>
      </c>
      <c r="G9" s="34" t="s">
        <v>246</v>
      </c>
      <c r="H9" s="34" t="s">
        <v>244</v>
      </c>
      <c r="I9" s="35">
        <v>0</v>
      </c>
      <c r="J9" s="36">
        <v>14</v>
      </c>
      <c r="K9" s="37">
        <v>7</v>
      </c>
      <c r="L9" s="38">
        <v>21</v>
      </c>
      <c r="M9" s="39">
        <v>7</v>
      </c>
      <c r="N9" s="40">
        <v>14</v>
      </c>
      <c r="O9" s="41">
        <v>0</v>
      </c>
      <c r="P9" s="42">
        <v>7</v>
      </c>
      <c r="Q9" s="53"/>
    </row>
    <row r="10" spans="2:17" ht="19.95" customHeight="1" x14ac:dyDescent="0.3">
      <c r="B10" s="52" t="str">
        <f>'Satınalma Takvimi Veri Girişi'!$B$1</f>
        <v>3028 - MONA</v>
      </c>
      <c r="C10" s="32" t="s">
        <v>157</v>
      </c>
      <c r="D10" s="32">
        <v>1</v>
      </c>
      <c r="E10" s="33" t="str">
        <f t="shared" si="0"/>
        <v>IHL.3028.008/1</v>
      </c>
      <c r="F10" s="31" t="s">
        <v>114</v>
      </c>
      <c r="G10" s="34" t="s">
        <v>246</v>
      </c>
      <c r="H10" s="34" t="s">
        <v>244</v>
      </c>
      <c r="I10" s="35">
        <v>0</v>
      </c>
      <c r="J10" s="36">
        <v>14</v>
      </c>
      <c r="K10" s="37">
        <v>7</v>
      </c>
      <c r="L10" s="38">
        <v>21</v>
      </c>
      <c r="M10" s="39">
        <v>7</v>
      </c>
      <c r="N10" s="40">
        <v>14</v>
      </c>
      <c r="O10" s="41">
        <v>0</v>
      </c>
      <c r="P10" s="42">
        <v>7</v>
      </c>
      <c r="Q10" s="53"/>
    </row>
    <row r="11" spans="2:17" ht="19.95" customHeight="1" x14ac:dyDescent="0.3">
      <c r="B11" s="52" t="str">
        <f>'Satınalma Takvimi Veri Girişi'!$B$1</f>
        <v>3028 - MONA</v>
      </c>
      <c r="C11" s="32" t="s">
        <v>158</v>
      </c>
      <c r="D11" s="32">
        <v>1</v>
      </c>
      <c r="E11" s="33" t="str">
        <f t="shared" si="0"/>
        <v>IHL.3028.009/1</v>
      </c>
      <c r="F11" s="31" t="s">
        <v>41</v>
      </c>
      <c r="G11" s="34" t="s">
        <v>245</v>
      </c>
      <c r="H11" s="34" t="s">
        <v>244</v>
      </c>
      <c r="I11" s="35"/>
      <c r="J11" s="36">
        <v>14</v>
      </c>
      <c r="K11" s="37">
        <v>14</v>
      </c>
      <c r="L11" s="38">
        <v>28</v>
      </c>
      <c r="M11" s="39">
        <v>10</v>
      </c>
      <c r="N11" s="40">
        <v>14</v>
      </c>
      <c r="O11" s="41">
        <v>0</v>
      </c>
      <c r="P11" s="42">
        <v>7</v>
      </c>
      <c r="Q11" s="53"/>
    </row>
    <row r="12" spans="2:17" ht="19.95" customHeight="1" x14ac:dyDescent="0.3">
      <c r="B12" s="52" t="str">
        <f>'Satınalma Takvimi Veri Girişi'!$B$1</f>
        <v>3028 - MONA</v>
      </c>
      <c r="C12" s="32" t="s">
        <v>159</v>
      </c>
      <c r="D12" s="32">
        <v>1</v>
      </c>
      <c r="E12" s="33" t="str">
        <f t="shared" si="0"/>
        <v>IHL.3028.010/1</v>
      </c>
      <c r="F12" s="31" t="s">
        <v>44</v>
      </c>
      <c r="G12" s="34" t="s">
        <v>245</v>
      </c>
      <c r="H12" s="34" t="s">
        <v>244</v>
      </c>
      <c r="I12" s="35"/>
      <c r="J12" s="36">
        <v>14</v>
      </c>
      <c r="K12" s="37">
        <v>14</v>
      </c>
      <c r="L12" s="38">
        <v>28</v>
      </c>
      <c r="M12" s="39">
        <v>10</v>
      </c>
      <c r="N12" s="40">
        <v>14</v>
      </c>
      <c r="O12" s="41">
        <v>0</v>
      </c>
      <c r="P12" s="42">
        <v>14</v>
      </c>
      <c r="Q12" s="53"/>
    </row>
    <row r="13" spans="2:17" ht="19.95" customHeight="1" x14ac:dyDescent="0.3">
      <c r="B13" s="52" t="str">
        <f>'Satınalma Takvimi Veri Girişi'!$B$1</f>
        <v>3028 - MONA</v>
      </c>
      <c r="C13" s="32" t="s">
        <v>160</v>
      </c>
      <c r="D13" s="32">
        <v>1</v>
      </c>
      <c r="E13" s="33" t="str">
        <f t="shared" si="0"/>
        <v>IHL.3028.011/1</v>
      </c>
      <c r="F13" s="31" t="s">
        <v>42</v>
      </c>
      <c r="G13" s="34" t="s">
        <v>246</v>
      </c>
      <c r="H13" s="34" t="s">
        <v>244</v>
      </c>
      <c r="I13" s="35">
        <v>0</v>
      </c>
      <c r="J13" s="36">
        <v>14</v>
      </c>
      <c r="K13" s="37">
        <v>7</v>
      </c>
      <c r="L13" s="38">
        <v>14</v>
      </c>
      <c r="M13" s="39">
        <v>7</v>
      </c>
      <c r="N13" s="40">
        <v>7</v>
      </c>
      <c r="O13" s="41">
        <v>0</v>
      </c>
      <c r="P13" s="42">
        <v>7</v>
      </c>
      <c r="Q13" s="53"/>
    </row>
    <row r="14" spans="2:17" ht="19.95" customHeight="1" x14ac:dyDescent="0.3">
      <c r="B14" s="52" t="str">
        <f>'Satınalma Takvimi Veri Girişi'!$B$1</f>
        <v>3028 - MONA</v>
      </c>
      <c r="C14" s="32" t="s">
        <v>161</v>
      </c>
      <c r="D14" s="32">
        <v>1</v>
      </c>
      <c r="E14" s="33" t="str">
        <f t="shared" si="0"/>
        <v>IHL.3028.012/1</v>
      </c>
      <c r="F14" s="31" t="s">
        <v>64</v>
      </c>
      <c r="G14" s="34" t="s">
        <v>245</v>
      </c>
      <c r="H14" s="34" t="s">
        <v>244</v>
      </c>
      <c r="I14" s="35"/>
      <c r="J14" s="36">
        <v>14</v>
      </c>
      <c r="K14" s="37">
        <v>14</v>
      </c>
      <c r="L14" s="38">
        <v>28</v>
      </c>
      <c r="M14" s="39">
        <v>10</v>
      </c>
      <c r="N14" s="40">
        <v>21</v>
      </c>
      <c r="O14" s="41">
        <v>7</v>
      </c>
      <c r="P14" s="42">
        <v>7</v>
      </c>
      <c r="Q14" s="53"/>
    </row>
    <row r="15" spans="2:17" ht="19.95" customHeight="1" x14ac:dyDescent="0.3">
      <c r="B15" s="52" t="str">
        <f>'Satınalma Takvimi Veri Girişi'!$B$1</f>
        <v>3028 - MONA</v>
      </c>
      <c r="C15" s="32" t="s">
        <v>162</v>
      </c>
      <c r="D15" s="32">
        <v>1</v>
      </c>
      <c r="E15" s="33" t="str">
        <f t="shared" si="0"/>
        <v>IHL.3028.013/1</v>
      </c>
      <c r="F15" s="31" t="s">
        <v>38</v>
      </c>
      <c r="G15" s="34" t="s">
        <v>246</v>
      </c>
      <c r="H15" s="34" t="s">
        <v>244</v>
      </c>
      <c r="I15" s="35">
        <v>0</v>
      </c>
      <c r="J15" s="36">
        <v>14</v>
      </c>
      <c r="K15" s="37">
        <v>7</v>
      </c>
      <c r="L15" s="38">
        <v>7</v>
      </c>
      <c r="M15" s="39">
        <v>7</v>
      </c>
      <c r="N15" s="40">
        <v>7</v>
      </c>
      <c r="O15" s="41">
        <v>0</v>
      </c>
      <c r="P15" s="42">
        <v>7</v>
      </c>
      <c r="Q15" s="53"/>
    </row>
    <row r="16" spans="2:17" ht="19.95" customHeight="1" x14ac:dyDescent="0.3">
      <c r="B16" s="52" t="str">
        <f>'Satınalma Takvimi Veri Girişi'!$B$1</f>
        <v>3028 - MONA</v>
      </c>
      <c r="C16" s="32" t="s">
        <v>163</v>
      </c>
      <c r="D16" s="32">
        <v>1</v>
      </c>
      <c r="E16" s="33" t="str">
        <f t="shared" si="0"/>
        <v>IHL.3028.014/1</v>
      </c>
      <c r="F16" s="31" t="s">
        <v>45</v>
      </c>
      <c r="G16" s="34" t="s">
        <v>245</v>
      </c>
      <c r="H16" s="34" t="s">
        <v>244</v>
      </c>
      <c r="I16" s="35"/>
      <c r="J16" s="36">
        <v>21</v>
      </c>
      <c r="K16" s="37">
        <v>21</v>
      </c>
      <c r="L16" s="38">
        <v>45</v>
      </c>
      <c r="M16" s="39">
        <v>10</v>
      </c>
      <c r="N16" s="40">
        <v>21</v>
      </c>
      <c r="O16" s="41">
        <v>0</v>
      </c>
      <c r="P16" s="42">
        <v>14</v>
      </c>
      <c r="Q16" s="53"/>
    </row>
    <row r="17" spans="2:17" ht="19.95" customHeight="1" x14ac:dyDescent="0.3">
      <c r="B17" s="52" t="str">
        <f>'Satınalma Takvimi Veri Girişi'!$B$1</f>
        <v>3028 - MONA</v>
      </c>
      <c r="C17" s="32" t="s">
        <v>164</v>
      </c>
      <c r="D17" s="32">
        <v>1</v>
      </c>
      <c r="E17" s="33" t="str">
        <f t="shared" si="0"/>
        <v>IHL.3028.015/1</v>
      </c>
      <c r="F17" s="31" t="s">
        <v>46</v>
      </c>
      <c r="G17" s="34" t="s">
        <v>246</v>
      </c>
      <c r="H17" s="34" t="s">
        <v>244</v>
      </c>
      <c r="I17" s="35"/>
      <c r="J17" s="36">
        <v>14</v>
      </c>
      <c r="K17" s="37">
        <v>7</v>
      </c>
      <c r="L17" s="38">
        <v>7</v>
      </c>
      <c r="M17" s="39">
        <v>7</v>
      </c>
      <c r="N17" s="40">
        <v>7</v>
      </c>
      <c r="O17" s="41">
        <v>7</v>
      </c>
      <c r="P17" s="42">
        <v>7</v>
      </c>
      <c r="Q17" s="53"/>
    </row>
    <row r="18" spans="2:17" ht="19.95" customHeight="1" x14ac:dyDescent="0.3">
      <c r="B18" s="52" t="str">
        <f>'Satınalma Takvimi Veri Girişi'!$B$1</f>
        <v>3028 - MONA</v>
      </c>
      <c r="C18" s="32" t="s">
        <v>165</v>
      </c>
      <c r="D18" s="32">
        <v>1</v>
      </c>
      <c r="E18" s="33" t="str">
        <f t="shared" si="0"/>
        <v>IHL.3028.016/1</v>
      </c>
      <c r="F18" s="31" t="s">
        <v>36</v>
      </c>
      <c r="G18" s="34" t="s">
        <v>246</v>
      </c>
      <c r="H18" s="34" t="s">
        <v>244</v>
      </c>
      <c r="I18" s="35">
        <v>0</v>
      </c>
      <c r="J18" s="36">
        <v>14</v>
      </c>
      <c r="K18" s="37">
        <v>7</v>
      </c>
      <c r="L18" s="38">
        <v>21</v>
      </c>
      <c r="M18" s="39">
        <v>7</v>
      </c>
      <c r="N18" s="40">
        <v>7</v>
      </c>
      <c r="O18" s="41">
        <v>0</v>
      </c>
      <c r="P18" s="42">
        <v>14</v>
      </c>
      <c r="Q18" s="53"/>
    </row>
    <row r="19" spans="2:17" ht="19.95" customHeight="1" x14ac:dyDescent="0.3">
      <c r="B19" s="52" t="str">
        <f>'Satınalma Takvimi Veri Girişi'!$B$1</f>
        <v>3028 - MONA</v>
      </c>
      <c r="C19" s="32" t="s">
        <v>166</v>
      </c>
      <c r="D19" s="32">
        <v>1</v>
      </c>
      <c r="E19" s="33" t="str">
        <f t="shared" si="0"/>
        <v>IHL.3028.017/1</v>
      </c>
      <c r="F19" s="31" t="s">
        <v>125</v>
      </c>
      <c r="G19" s="34" t="s">
        <v>246</v>
      </c>
      <c r="H19" s="34" t="s">
        <v>244</v>
      </c>
      <c r="I19" s="35">
        <v>0</v>
      </c>
      <c r="J19" s="36">
        <v>14</v>
      </c>
      <c r="K19" s="37">
        <v>7</v>
      </c>
      <c r="L19" s="38">
        <v>14</v>
      </c>
      <c r="M19" s="39">
        <v>7</v>
      </c>
      <c r="N19" s="40">
        <v>7</v>
      </c>
      <c r="O19" s="41">
        <v>0</v>
      </c>
      <c r="P19" s="42">
        <v>14</v>
      </c>
      <c r="Q19" s="53"/>
    </row>
    <row r="20" spans="2:17" ht="19.95" customHeight="1" x14ac:dyDescent="0.3">
      <c r="B20" s="52" t="str">
        <f>'Satınalma Takvimi Veri Girişi'!$B$1</f>
        <v>3028 - MONA</v>
      </c>
      <c r="C20" s="32" t="s">
        <v>167</v>
      </c>
      <c r="D20" s="32">
        <v>1</v>
      </c>
      <c r="E20" s="33" t="str">
        <f t="shared" si="0"/>
        <v>IHL.3028.018/1</v>
      </c>
      <c r="F20" s="31" t="s">
        <v>126</v>
      </c>
      <c r="G20" s="34" t="s">
        <v>246</v>
      </c>
      <c r="H20" s="34" t="s">
        <v>244</v>
      </c>
      <c r="I20" s="35">
        <v>0</v>
      </c>
      <c r="J20" s="36">
        <v>14</v>
      </c>
      <c r="K20" s="37">
        <v>7</v>
      </c>
      <c r="L20" s="38">
        <v>14</v>
      </c>
      <c r="M20" s="39">
        <v>7</v>
      </c>
      <c r="N20" s="40">
        <v>7</v>
      </c>
      <c r="O20" s="41">
        <v>0</v>
      </c>
      <c r="P20" s="42">
        <v>14</v>
      </c>
      <c r="Q20" s="53"/>
    </row>
    <row r="21" spans="2:17" ht="19.95" customHeight="1" x14ac:dyDescent="0.3">
      <c r="B21" s="52" t="str">
        <f>'Satınalma Takvimi Veri Girişi'!$B$1</f>
        <v>3028 - MONA</v>
      </c>
      <c r="C21" s="32" t="s">
        <v>168</v>
      </c>
      <c r="D21" s="32">
        <v>1</v>
      </c>
      <c r="E21" s="33" t="str">
        <f t="shared" si="0"/>
        <v>IHL.3028.019/1</v>
      </c>
      <c r="F21" s="31" t="s">
        <v>40</v>
      </c>
      <c r="G21" s="34" t="s">
        <v>246</v>
      </c>
      <c r="H21" s="34" t="s">
        <v>244</v>
      </c>
      <c r="I21" s="35"/>
      <c r="J21" s="36">
        <v>14</v>
      </c>
      <c r="K21" s="37">
        <v>7</v>
      </c>
      <c r="L21" s="38">
        <v>21</v>
      </c>
      <c r="M21" s="39">
        <v>7</v>
      </c>
      <c r="N21" s="40">
        <v>14</v>
      </c>
      <c r="O21" s="41">
        <v>7</v>
      </c>
      <c r="P21" s="42">
        <v>28</v>
      </c>
      <c r="Q21" s="53"/>
    </row>
    <row r="22" spans="2:17" ht="19.95" customHeight="1" x14ac:dyDescent="0.3">
      <c r="B22" s="52" t="str">
        <f>'Satınalma Takvimi Veri Girişi'!$B$1</f>
        <v>3028 - MONA</v>
      </c>
      <c r="C22" s="32" t="s">
        <v>169</v>
      </c>
      <c r="D22" s="32">
        <v>1</v>
      </c>
      <c r="E22" s="33" t="str">
        <f t="shared" si="0"/>
        <v>IHL.3028.020/1</v>
      </c>
      <c r="F22" s="31" t="s">
        <v>54</v>
      </c>
      <c r="G22" s="34" t="s">
        <v>247</v>
      </c>
      <c r="H22" s="34" t="s">
        <v>244</v>
      </c>
      <c r="I22" s="35"/>
      <c r="J22" s="36">
        <v>14</v>
      </c>
      <c r="K22" s="37">
        <v>7</v>
      </c>
      <c r="L22" s="38">
        <v>14</v>
      </c>
      <c r="M22" s="39">
        <v>7</v>
      </c>
      <c r="N22" s="40">
        <v>7</v>
      </c>
      <c r="O22" s="41">
        <v>7</v>
      </c>
      <c r="P22" s="42">
        <v>14</v>
      </c>
      <c r="Q22" s="53"/>
    </row>
    <row r="23" spans="2:17" ht="19.95" customHeight="1" x14ac:dyDescent="0.3">
      <c r="B23" s="52" t="str">
        <f>'Satınalma Takvimi Veri Girişi'!$B$1</f>
        <v>3028 - MONA</v>
      </c>
      <c r="C23" s="32" t="s">
        <v>170</v>
      </c>
      <c r="D23" s="32">
        <v>1</v>
      </c>
      <c r="E23" s="33" t="str">
        <f t="shared" si="0"/>
        <v>IHL.3028.021/1</v>
      </c>
      <c r="F23" s="31" t="s">
        <v>37</v>
      </c>
      <c r="G23" s="34" t="s">
        <v>246</v>
      </c>
      <c r="H23" s="34" t="s">
        <v>244</v>
      </c>
      <c r="I23" s="35">
        <v>0</v>
      </c>
      <c r="J23" s="36">
        <v>14</v>
      </c>
      <c r="K23" s="37">
        <v>7</v>
      </c>
      <c r="L23" s="38">
        <v>21</v>
      </c>
      <c r="M23" s="39">
        <v>7</v>
      </c>
      <c r="N23" s="40">
        <v>7</v>
      </c>
      <c r="O23" s="41">
        <v>7</v>
      </c>
      <c r="P23" s="42">
        <v>28</v>
      </c>
      <c r="Q23" s="53"/>
    </row>
    <row r="24" spans="2:17" ht="19.95" customHeight="1" x14ac:dyDescent="0.3">
      <c r="B24" s="52" t="str">
        <f>'Satınalma Takvimi Veri Girişi'!$B$1</f>
        <v>3028 - MONA</v>
      </c>
      <c r="C24" s="32" t="s">
        <v>171</v>
      </c>
      <c r="D24" s="32">
        <v>1</v>
      </c>
      <c r="E24" s="33" t="str">
        <f t="shared" si="0"/>
        <v>IHL.3028.022/1</v>
      </c>
      <c r="F24" s="31" t="s">
        <v>35</v>
      </c>
      <c r="G24" s="34" t="s">
        <v>246</v>
      </c>
      <c r="H24" s="34" t="s">
        <v>244</v>
      </c>
      <c r="I24" s="35">
        <v>0</v>
      </c>
      <c r="J24" s="36">
        <v>14</v>
      </c>
      <c r="K24" s="37">
        <v>7</v>
      </c>
      <c r="L24" s="38">
        <v>21</v>
      </c>
      <c r="M24" s="39">
        <v>7</v>
      </c>
      <c r="N24" s="40">
        <v>7</v>
      </c>
      <c r="O24" s="41">
        <v>7</v>
      </c>
      <c r="P24" s="42">
        <v>14</v>
      </c>
      <c r="Q24" s="53"/>
    </row>
    <row r="25" spans="2:17" ht="19.95" customHeight="1" x14ac:dyDescent="0.3">
      <c r="B25" s="52" t="str">
        <f>'Satınalma Takvimi Veri Girişi'!$B$1</f>
        <v>3028 - MONA</v>
      </c>
      <c r="C25" s="32" t="s">
        <v>172</v>
      </c>
      <c r="D25" s="32">
        <v>1</v>
      </c>
      <c r="E25" s="33" t="str">
        <f t="shared" si="0"/>
        <v>IHL.3028.023/1</v>
      </c>
      <c r="F25" s="31" t="s">
        <v>23</v>
      </c>
      <c r="G25" s="34" t="s">
        <v>245</v>
      </c>
      <c r="H25" s="34" t="s">
        <v>244</v>
      </c>
      <c r="I25" s="35"/>
      <c r="J25" s="44">
        <v>30</v>
      </c>
      <c r="K25" s="45">
        <v>21</v>
      </c>
      <c r="L25" s="46">
        <v>60</v>
      </c>
      <c r="M25" s="47">
        <v>10</v>
      </c>
      <c r="N25" s="48">
        <v>21</v>
      </c>
      <c r="O25" s="49">
        <v>28</v>
      </c>
      <c r="P25" s="50">
        <v>14</v>
      </c>
      <c r="Q25" s="53"/>
    </row>
    <row r="26" spans="2:17" ht="19.95" customHeight="1" x14ac:dyDescent="0.3">
      <c r="B26" s="52" t="str">
        <f>'Satınalma Takvimi Veri Girişi'!$B$1</f>
        <v>3028 - MONA</v>
      </c>
      <c r="C26" s="32" t="s">
        <v>173</v>
      </c>
      <c r="D26" s="32">
        <v>1</v>
      </c>
      <c r="E26" s="33" t="str">
        <f t="shared" si="0"/>
        <v>IHL.3028.024/1</v>
      </c>
      <c r="F26" s="31" t="s">
        <v>62</v>
      </c>
      <c r="G26" s="34" t="s">
        <v>245</v>
      </c>
      <c r="H26" s="34" t="s">
        <v>244</v>
      </c>
      <c r="I26" s="35"/>
      <c r="J26" s="44">
        <v>30</v>
      </c>
      <c r="K26" s="45">
        <v>21</v>
      </c>
      <c r="L26" s="46">
        <v>60</v>
      </c>
      <c r="M26" s="47">
        <v>10</v>
      </c>
      <c r="N26" s="48">
        <v>21</v>
      </c>
      <c r="O26" s="49">
        <v>28</v>
      </c>
      <c r="P26" s="50">
        <v>45</v>
      </c>
      <c r="Q26" s="53"/>
    </row>
    <row r="27" spans="2:17" ht="19.95" customHeight="1" x14ac:dyDescent="0.3">
      <c r="B27" s="52" t="str">
        <f>'Satınalma Takvimi Veri Girişi'!$B$1</f>
        <v>3028 - MONA</v>
      </c>
      <c r="C27" s="32" t="s">
        <v>174</v>
      </c>
      <c r="D27" s="32">
        <v>1</v>
      </c>
      <c r="E27" s="33" t="str">
        <f t="shared" si="0"/>
        <v>IHL.3028.025/1</v>
      </c>
      <c r="F27" s="31" t="s">
        <v>15</v>
      </c>
      <c r="G27" s="34" t="s">
        <v>245</v>
      </c>
      <c r="H27" s="34" t="s">
        <v>244</v>
      </c>
      <c r="I27" s="35"/>
      <c r="J27" s="44">
        <v>14</v>
      </c>
      <c r="K27" s="45">
        <v>21</v>
      </c>
      <c r="L27" s="46">
        <v>45</v>
      </c>
      <c r="M27" s="47">
        <v>10</v>
      </c>
      <c r="N27" s="48">
        <v>21</v>
      </c>
      <c r="O27" s="49">
        <v>28</v>
      </c>
      <c r="P27" s="50">
        <v>28</v>
      </c>
      <c r="Q27" s="53"/>
    </row>
    <row r="28" spans="2:17" ht="19.95" customHeight="1" x14ac:dyDescent="0.3">
      <c r="B28" s="52" t="str">
        <f>'Satınalma Takvimi Veri Girişi'!$B$1</f>
        <v>3028 - MONA</v>
      </c>
      <c r="C28" s="32" t="s">
        <v>175</v>
      </c>
      <c r="D28" s="32">
        <v>1</v>
      </c>
      <c r="E28" s="33" t="str">
        <f t="shared" si="0"/>
        <v>IHL.3028.026/1</v>
      </c>
      <c r="F28" s="31" t="s">
        <v>257</v>
      </c>
      <c r="G28" s="34" t="s">
        <v>245</v>
      </c>
      <c r="H28" s="34" t="s">
        <v>244</v>
      </c>
      <c r="I28" s="35"/>
      <c r="J28" s="44">
        <v>14</v>
      </c>
      <c r="K28" s="45">
        <v>14</v>
      </c>
      <c r="L28" s="46">
        <v>28</v>
      </c>
      <c r="M28" s="47">
        <v>10</v>
      </c>
      <c r="N28" s="48">
        <v>14</v>
      </c>
      <c r="O28" s="49">
        <v>14</v>
      </c>
      <c r="P28" s="50">
        <v>28</v>
      </c>
      <c r="Q28" s="53"/>
    </row>
    <row r="29" spans="2:17" ht="19.95" customHeight="1" x14ac:dyDescent="0.3">
      <c r="B29" s="52" t="str">
        <f>'Satınalma Takvimi Veri Girişi'!$B$1</f>
        <v>3028 - MONA</v>
      </c>
      <c r="C29" s="32" t="s">
        <v>176</v>
      </c>
      <c r="D29" s="32">
        <v>1</v>
      </c>
      <c r="E29" s="33" t="str">
        <f t="shared" si="0"/>
        <v>IHL.3028.027/1</v>
      </c>
      <c r="F29" s="31" t="s">
        <v>112</v>
      </c>
      <c r="G29" s="34" t="s">
        <v>245</v>
      </c>
      <c r="H29" s="34" t="s">
        <v>244</v>
      </c>
      <c r="I29" s="35"/>
      <c r="J29" s="44">
        <v>14</v>
      </c>
      <c r="K29" s="45">
        <v>14</v>
      </c>
      <c r="L29" s="46">
        <v>28</v>
      </c>
      <c r="M29" s="47">
        <v>10</v>
      </c>
      <c r="N29" s="48">
        <v>14</v>
      </c>
      <c r="O29" s="49">
        <v>14</v>
      </c>
      <c r="P29" s="50">
        <v>28</v>
      </c>
      <c r="Q29" s="53"/>
    </row>
    <row r="30" spans="2:17" ht="19.95" customHeight="1" x14ac:dyDescent="0.3">
      <c r="B30" s="52" t="str">
        <f>'Satınalma Takvimi Veri Girişi'!$B$1</f>
        <v>3028 - MONA</v>
      </c>
      <c r="C30" s="32" t="s">
        <v>177</v>
      </c>
      <c r="D30" s="32">
        <v>1</v>
      </c>
      <c r="E30" s="33" t="str">
        <f t="shared" si="0"/>
        <v>IHL.3028.028/1</v>
      </c>
      <c r="F30" s="31" t="s">
        <v>61</v>
      </c>
      <c r="G30" s="34" t="s">
        <v>245</v>
      </c>
      <c r="H30" s="34" t="s">
        <v>244</v>
      </c>
      <c r="I30" s="35"/>
      <c r="J30" s="44">
        <v>14</v>
      </c>
      <c r="K30" s="45">
        <v>7</v>
      </c>
      <c r="L30" s="38">
        <v>28</v>
      </c>
      <c r="M30" s="47">
        <v>10</v>
      </c>
      <c r="N30" s="48">
        <v>14</v>
      </c>
      <c r="O30" s="49">
        <v>0</v>
      </c>
      <c r="P30" s="50">
        <v>7</v>
      </c>
      <c r="Q30" s="53"/>
    </row>
    <row r="31" spans="2:17" ht="19.95" customHeight="1" x14ac:dyDescent="0.3">
      <c r="B31" s="52" t="str">
        <f>'Satınalma Takvimi Veri Girişi'!$B$1</f>
        <v>3028 - MONA</v>
      </c>
      <c r="C31" s="32" t="s">
        <v>178</v>
      </c>
      <c r="D31" s="32">
        <v>1</v>
      </c>
      <c r="E31" s="33" t="str">
        <f t="shared" si="0"/>
        <v>IHL.3028.029/1</v>
      </c>
      <c r="F31" s="31" t="s">
        <v>59</v>
      </c>
      <c r="G31" s="34" t="s">
        <v>245</v>
      </c>
      <c r="H31" s="34" t="s">
        <v>244</v>
      </c>
      <c r="I31" s="35"/>
      <c r="J31" s="44">
        <v>14</v>
      </c>
      <c r="K31" s="45">
        <v>14</v>
      </c>
      <c r="L31" s="38">
        <v>28</v>
      </c>
      <c r="M31" s="47">
        <v>10</v>
      </c>
      <c r="N31" s="48">
        <v>14</v>
      </c>
      <c r="O31" s="49">
        <v>7</v>
      </c>
      <c r="P31" s="50">
        <v>7</v>
      </c>
      <c r="Q31" s="53"/>
    </row>
    <row r="32" spans="2:17" ht="19.95" customHeight="1" x14ac:dyDescent="0.3">
      <c r="B32" s="52" t="str">
        <f>'Satınalma Takvimi Veri Girişi'!$B$1</f>
        <v>3028 - MONA</v>
      </c>
      <c r="C32" s="32" t="s">
        <v>179</v>
      </c>
      <c r="D32" s="32">
        <v>1</v>
      </c>
      <c r="E32" s="33" t="str">
        <f t="shared" si="0"/>
        <v>IHL.3028.030/1</v>
      </c>
      <c r="F32" s="31" t="s">
        <v>255</v>
      </c>
      <c r="G32" s="34" t="s">
        <v>245</v>
      </c>
      <c r="H32" s="34" t="s">
        <v>244</v>
      </c>
      <c r="I32" s="35"/>
      <c r="J32" s="44">
        <v>14</v>
      </c>
      <c r="K32" s="45">
        <v>14</v>
      </c>
      <c r="L32" s="46">
        <v>28</v>
      </c>
      <c r="M32" s="47">
        <v>10</v>
      </c>
      <c r="N32" s="48">
        <v>14</v>
      </c>
      <c r="O32" s="49">
        <v>7</v>
      </c>
      <c r="P32" s="50">
        <v>14</v>
      </c>
      <c r="Q32" s="53"/>
    </row>
    <row r="33" spans="2:17" ht="19.95" customHeight="1" x14ac:dyDescent="0.3">
      <c r="B33" s="52" t="str">
        <f>'Satınalma Takvimi Veri Girişi'!$B$1</f>
        <v>3028 - MONA</v>
      </c>
      <c r="C33" s="32" t="s">
        <v>180</v>
      </c>
      <c r="D33" s="32">
        <v>1</v>
      </c>
      <c r="E33" s="33" t="str">
        <f t="shared" si="0"/>
        <v>IHL.3028.031/1</v>
      </c>
      <c r="F33" s="31" t="s">
        <v>256</v>
      </c>
      <c r="G33" s="34" t="s">
        <v>245</v>
      </c>
      <c r="H33" s="34" t="s">
        <v>244</v>
      </c>
      <c r="I33" s="35"/>
      <c r="J33" s="44">
        <v>14</v>
      </c>
      <c r="K33" s="45">
        <v>14</v>
      </c>
      <c r="L33" s="46">
        <v>28</v>
      </c>
      <c r="M33" s="47">
        <v>10</v>
      </c>
      <c r="N33" s="48">
        <v>14</v>
      </c>
      <c r="O33" s="49">
        <v>7</v>
      </c>
      <c r="P33" s="50">
        <v>14</v>
      </c>
      <c r="Q33" s="53"/>
    </row>
    <row r="34" spans="2:17" ht="19.95" customHeight="1" x14ac:dyDescent="0.3">
      <c r="B34" s="52" t="str">
        <f>'Satınalma Takvimi Veri Girişi'!$B$1</f>
        <v>3028 - MONA</v>
      </c>
      <c r="C34" s="32" t="s">
        <v>181</v>
      </c>
      <c r="D34" s="32">
        <v>1</v>
      </c>
      <c r="E34" s="33" t="str">
        <f t="shared" si="0"/>
        <v>IHL.3028.032/1</v>
      </c>
      <c r="F34" s="51" t="s">
        <v>258</v>
      </c>
      <c r="G34" s="34" t="s">
        <v>246</v>
      </c>
      <c r="H34" s="34" t="s">
        <v>244</v>
      </c>
      <c r="I34" s="35"/>
      <c r="J34" s="44">
        <v>14</v>
      </c>
      <c r="K34" s="45">
        <v>14</v>
      </c>
      <c r="L34" s="46">
        <v>28</v>
      </c>
      <c r="M34" s="47">
        <v>7</v>
      </c>
      <c r="N34" s="48">
        <v>21</v>
      </c>
      <c r="O34" s="49">
        <v>7</v>
      </c>
      <c r="P34" s="50">
        <v>60</v>
      </c>
      <c r="Q34" s="53"/>
    </row>
    <row r="35" spans="2:17" ht="19.95" customHeight="1" x14ac:dyDescent="0.3">
      <c r="B35" s="52" t="str">
        <f>'Satınalma Takvimi Veri Girişi'!$B$1</f>
        <v>3028 - MONA</v>
      </c>
      <c r="C35" s="32" t="s">
        <v>182</v>
      </c>
      <c r="D35" s="32">
        <v>1</v>
      </c>
      <c r="E35" s="33" t="str">
        <f t="shared" si="0"/>
        <v>IHL.3028.033/1</v>
      </c>
      <c r="F35" s="51" t="s">
        <v>259</v>
      </c>
      <c r="G35" s="34" t="s">
        <v>246</v>
      </c>
      <c r="H35" s="34" t="s">
        <v>244</v>
      </c>
      <c r="I35" s="35"/>
      <c r="J35" s="44">
        <v>14</v>
      </c>
      <c r="K35" s="45">
        <v>14</v>
      </c>
      <c r="L35" s="46">
        <v>28</v>
      </c>
      <c r="M35" s="47">
        <v>7</v>
      </c>
      <c r="N35" s="48">
        <v>21</v>
      </c>
      <c r="O35" s="49">
        <v>7</v>
      </c>
      <c r="P35" s="50">
        <v>60</v>
      </c>
      <c r="Q35" s="53"/>
    </row>
    <row r="36" spans="2:17" ht="19.95" customHeight="1" x14ac:dyDescent="0.3">
      <c r="B36" s="52" t="str">
        <f>'Satınalma Takvimi Veri Girişi'!$B$1</f>
        <v>3028 - MONA</v>
      </c>
      <c r="C36" s="32" t="s">
        <v>183</v>
      </c>
      <c r="D36" s="32">
        <v>1</v>
      </c>
      <c r="E36" s="33" t="str">
        <f t="shared" si="0"/>
        <v>IHL.3028.034/1</v>
      </c>
      <c r="F36" s="31" t="s">
        <v>139</v>
      </c>
      <c r="G36" s="34" t="s">
        <v>246</v>
      </c>
      <c r="H36" s="34" t="s">
        <v>244</v>
      </c>
      <c r="I36" s="35"/>
      <c r="J36" s="44">
        <v>14</v>
      </c>
      <c r="K36" s="45">
        <v>14</v>
      </c>
      <c r="L36" s="46">
        <v>28</v>
      </c>
      <c r="M36" s="47">
        <v>7</v>
      </c>
      <c r="N36" s="48">
        <v>14</v>
      </c>
      <c r="O36" s="49">
        <v>7</v>
      </c>
      <c r="P36" s="50">
        <v>60</v>
      </c>
      <c r="Q36" s="53"/>
    </row>
    <row r="37" spans="2:17" ht="19.95" customHeight="1" x14ac:dyDescent="0.3">
      <c r="B37" s="52" t="str">
        <f>'Satınalma Takvimi Veri Girişi'!$B$1</f>
        <v>3028 - MONA</v>
      </c>
      <c r="C37" s="32" t="s">
        <v>184</v>
      </c>
      <c r="D37" s="32">
        <v>1</v>
      </c>
      <c r="E37" s="33" t="str">
        <f t="shared" si="0"/>
        <v>IHL.3028.035/1</v>
      </c>
      <c r="F37" s="31" t="s">
        <v>260</v>
      </c>
      <c r="G37" s="34" t="s">
        <v>246</v>
      </c>
      <c r="H37" s="34" t="s">
        <v>244</v>
      </c>
      <c r="I37" s="35"/>
      <c r="J37" s="44">
        <v>14</v>
      </c>
      <c r="K37" s="45">
        <v>14</v>
      </c>
      <c r="L37" s="46">
        <v>28</v>
      </c>
      <c r="M37" s="47">
        <v>7</v>
      </c>
      <c r="N37" s="48">
        <v>14</v>
      </c>
      <c r="O37" s="49">
        <v>7</v>
      </c>
      <c r="P37" s="50">
        <v>60</v>
      </c>
      <c r="Q37" s="53"/>
    </row>
    <row r="38" spans="2:17" ht="19.95" customHeight="1" x14ac:dyDescent="0.3">
      <c r="B38" s="52" t="str">
        <f>'Satınalma Takvimi Veri Girişi'!$B$1</f>
        <v>3028 - MONA</v>
      </c>
      <c r="C38" s="32" t="s">
        <v>185</v>
      </c>
      <c r="D38" s="32">
        <v>1</v>
      </c>
      <c r="E38" s="33" t="str">
        <f t="shared" si="0"/>
        <v>IHL.3028.036/1</v>
      </c>
      <c r="F38" s="31" t="s">
        <v>99</v>
      </c>
      <c r="G38" s="34" t="s">
        <v>246</v>
      </c>
      <c r="H38" s="34" t="s">
        <v>244</v>
      </c>
      <c r="I38" s="35"/>
      <c r="J38" s="44">
        <v>14</v>
      </c>
      <c r="K38" s="45">
        <v>7</v>
      </c>
      <c r="L38" s="46">
        <v>14</v>
      </c>
      <c r="M38" s="47">
        <v>7</v>
      </c>
      <c r="N38" s="48">
        <v>7</v>
      </c>
      <c r="O38" s="49">
        <v>0</v>
      </c>
      <c r="P38" s="50">
        <v>14</v>
      </c>
      <c r="Q38" s="53"/>
    </row>
    <row r="39" spans="2:17" ht="19.95" customHeight="1" x14ac:dyDescent="0.3">
      <c r="B39" s="52" t="str">
        <f>'Satınalma Takvimi Veri Girişi'!$B$1</f>
        <v>3028 - MONA</v>
      </c>
      <c r="C39" s="32" t="s">
        <v>186</v>
      </c>
      <c r="D39" s="32">
        <v>1</v>
      </c>
      <c r="E39" s="33" t="str">
        <f t="shared" si="0"/>
        <v>IHL.3028.037/1</v>
      </c>
      <c r="F39" s="31" t="s">
        <v>11</v>
      </c>
      <c r="G39" s="34" t="s">
        <v>246</v>
      </c>
      <c r="H39" s="34" t="s">
        <v>244</v>
      </c>
      <c r="I39" s="35"/>
      <c r="J39" s="44">
        <v>14</v>
      </c>
      <c r="K39" s="45">
        <v>14</v>
      </c>
      <c r="L39" s="46">
        <v>21</v>
      </c>
      <c r="M39" s="47">
        <v>7</v>
      </c>
      <c r="N39" s="48">
        <v>7</v>
      </c>
      <c r="O39" s="49">
        <v>0</v>
      </c>
      <c r="P39" s="50">
        <v>7</v>
      </c>
      <c r="Q39" s="53"/>
    </row>
    <row r="40" spans="2:17" ht="19.95" customHeight="1" x14ac:dyDescent="0.3">
      <c r="B40" s="52" t="str">
        <f>'Satınalma Takvimi Veri Girişi'!$B$1</f>
        <v>3028 - MONA</v>
      </c>
      <c r="C40" s="32" t="s">
        <v>187</v>
      </c>
      <c r="D40" s="32">
        <v>1</v>
      </c>
      <c r="E40" s="33" t="str">
        <f t="shared" si="0"/>
        <v>IHL.3028.038/1</v>
      </c>
      <c r="F40" s="31" t="s">
        <v>100</v>
      </c>
      <c r="G40" s="34" t="s">
        <v>246</v>
      </c>
      <c r="H40" s="34" t="s">
        <v>244</v>
      </c>
      <c r="I40" s="35"/>
      <c r="J40" s="44">
        <v>14</v>
      </c>
      <c r="K40" s="45">
        <v>7</v>
      </c>
      <c r="L40" s="46">
        <v>14</v>
      </c>
      <c r="M40" s="47">
        <v>7</v>
      </c>
      <c r="N40" s="48">
        <v>7</v>
      </c>
      <c r="O40" s="49">
        <v>0</v>
      </c>
      <c r="P40" s="50">
        <v>14</v>
      </c>
      <c r="Q40" s="53"/>
    </row>
    <row r="41" spans="2:17" ht="19.95" customHeight="1" x14ac:dyDescent="0.3">
      <c r="B41" s="52" t="str">
        <f>'Satınalma Takvimi Veri Girişi'!$B$1</f>
        <v>3028 - MONA</v>
      </c>
      <c r="C41" s="32" t="s">
        <v>188</v>
      </c>
      <c r="D41" s="32">
        <v>1</v>
      </c>
      <c r="E41" s="33" t="str">
        <f t="shared" si="0"/>
        <v>IHL.3028.039/1</v>
      </c>
      <c r="F41" s="31" t="s">
        <v>47</v>
      </c>
      <c r="G41" s="34" t="s">
        <v>246</v>
      </c>
      <c r="H41" s="34" t="s">
        <v>244</v>
      </c>
      <c r="I41" s="35"/>
      <c r="J41" s="44">
        <v>14</v>
      </c>
      <c r="K41" s="45">
        <v>14</v>
      </c>
      <c r="L41" s="46">
        <v>21</v>
      </c>
      <c r="M41" s="47">
        <v>7</v>
      </c>
      <c r="N41" s="48">
        <v>7</v>
      </c>
      <c r="O41" s="49">
        <v>0</v>
      </c>
      <c r="P41" s="50">
        <v>7</v>
      </c>
      <c r="Q41" s="53"/>
    </row>
    <row r="42" spans="2:17" ht="19.95" customHeight="1" x14ac:dyDescent="0.3">
      <c r="B42" s="52" t="str">
        <f>'Satınalma Takvimi Veri Girişi'!$B$1</f>
        <v>3028 - MONA</v>
      </c>
      <c r="C42" s="32" t="s">
        <v>189</v>
      </c>
      <c r="D42" s="32">
        <v>1</v>
      </c>
      <c r="E42" s="33" t="str">
        <f t="shared" si="0"/>
        <v>IHL.3028.040/1</v>
      </c>
      <c r="F42" s="31" t="s">
        <v>107</v>
      </c>
      <c r="G42" s="34" t="s">
        <v>246</v>
      </c>
      <c r="H42" s="34" t="s">
        <v>244</v>
      </c>
      <c r="I42" s="35"/>
      <c r="J42" s="44">
        <v>14</v>
      </c>
      <c r="K42" s="45">
        <v>7</v>
      </c>
      <c r="L42" s="46">
        <v>14</v>
      </c>
      <c r="M42" s="47">
        <v>7</v>
      </c>
      <c r="N42" s="48">
        <v>7</v>
      </c>
      <c r="O42" s="49">
        <v>7</v>
      </c>
      <c r="P42" s="50">
        <v>28</v>
      </c>
      <c r="Q42" s="53"/>
    </row>
    <row r="43" spans="2:17" ht="19.95" customHeight="1" x14ac:dyDescent="0.3">
      <c r="B43" s="52" t="str">
        <f>'Satınalma Takvimi Veri Girişi'!$B$1</f>
        <v>3028 - MONA</v>
      </c>
      <c r="C43" s="32" t="s">
        <v>190</v>
      </c>
      <c r="D43" s="32">
        <v>1</v>
      </c>
      <c r="E43" s="33" t="str">
        <f t="shared" si="0"/>
        <v>IHL.3028.041/1</v>
      </c>
      <c r="F43" s="31" t="s">
        <v>101</v>
      </c>
      <c r="G43" s="34" t="s">
        <v>246</v>
      </c>
      <c r="H43" s="34" t="s">
        <v>244</v>
      </c>
      <c r="I43" s="35"/>
      <c r="J43" s="44">
        <v>14</v>
      </c>
      <c r="K43" s="45">
        <v>14</v>
      </c>
      <c r="L43" s="46">
        <v>28</v>
      </c>
      <c r="M43" s="47">
        <v>7</v>
      </c>
      <c r="N43" s="48">
        <v>7</v>
      </c>
      <c r="O43" s="49">
        <v>7</v>
      </c>
      <c r="P43" s="50">
        <v>60</v>
      </c>
      <c r="Q43" s="53"/>
    </row>
    <row r="44" spans="2:17" ht="19.95" customHeight="1" x14ac:dyDescent="0.3">
      <c r="B44" s="52" t="str">
        <f>'Satınalma Takvimi Veri Girişi'!$B$1</f>
        <v>3028 - MONA</v>
      </c>
      <c r="C44" s="32" t="s">
        <v>190</v>
      </c>
      <c r="D44" s="32">
        <v>2</v>
      </c>
      <c r="E44" s="33" t="str">
        <f t="shared" si="0"/>
        <v>IHL.3028.041/2</v>
      </c>
      <c r="F44" s="31" t="s">
        <v>101</v>
      </c>
      <c r="G44" s="34" t="s">
        <v>246</v>
      </c>
      <c r="H44" s="34" t="s">
        <v>244</v>
      </c>
      <c r="I44" s="35"/>
      <c r="J44" s="44">
        <v>14</v>
      </c>
      <c r="K44" s="45">
        <v>14</v>
      </c>
      <c r="L44" s="46">
        <v>28</v>
      </c>
      <c r="M44" s="47">
        <v>7</v>
      </c>
      <c r="N44" s="48">
        <v>7</v>
      </c>
      <c r="O44" s="49">
        <v>7</v>
      </c>
      <c r="P44" s="50">
        <v>60</v>
      </c>
      <c r="Q44" s="53"/>
    </row>
    <row r="45" spans="2:17" ht="19.95" customHeight="1" x14ac:dyDescent="0.3">
      <c r="B45" s="52" t="str">
        <f>'Satınalma Takvimi Veri Girişi'!$B$1</f>
        <v>3028 - MONA</v>
      </c>
      <c r="C45" s="32" t="s">
        <v>190</v>
      </c>
      <c r="D45" s="32">
        <v>3</v>
      </c>
      <c r="E45" s="33" t="str">
        <f t="shared" si="0"/>
        <v>IHL.3028.041/3</v>
      </c>
      <c r="F45" s="31" t="s">
        <v>101</v>
      </c>
      <c r="G45" s="34" t="s">
        <v>246</v>
      </c>
      <c r="H45" s="34" t="s">
        <v>244</v>
      </c>
      <c r="I45" s="35"/>
      <c r="J45" s="44">
        <v>14</v>
      </c>
      <c r="K45" s="45">
        <v>14</v>
      </c>
      <c r="L45" s="46">
        <v>28</v>
      </c>
      <c r="M45" s="47">
        <v>7</v>
      </c>
      <c r="N45" s="48">
        <v>7</v>
      </c>
      <c r="O45" s="49">
        <v>7</v>
      </c>
      <c r="P45" s="50">
        <v>60</v>
      </c>
      <c r="Q45" s="53"/>
    </row>
    <row r="46" spans="2:17" ht="19.95" customHeight="1" x14ac:dyDescent="0.3">
      <c r="B46" s="52" t="str">
        <f>'Satınalma Takvimi Veri Girişi'!$B$1</f>
        <v>3028 - MONA</v>
      </c>
      <c r="C46" s="32" t="s">
        <v>190</v>
      </c>
      <c r="D46" s="32">
        <v>4</v>
      </c>
      <c r="E46" s="33" t="str">
        <f t="shared" si="0"/>
        <v>IHL.3028.041/4</v>
      </c>
      <c r="F46" s="31" t="s">
        <v>101</v>
      </c>
      <c r="G46" s="34" t="s">
        <v>246</v>
      </c>
      <c r="H46" s="34" t="s">
        <v>244</v>
      </c>
      <c r="I46" s="35"/>
      <c r="J46" s="44">
        <v>14</v>
      </c>
      <c r="K46" s="45">
        <v>14</v>
      </c>
      <c r="L46" s="46">
        <v>28</v>
      </c>
      <c r="M46" s="47">
        <v>7</v>
      </c>
      <c r="N46" s="48">
        <v>7</v>
      </c>
      <c r="O46" s="49">
        <v>7</v>
      </c>
      <c r="P46" s="50">
        <v>60</v>
      </c>
      <c r="Q46" s="53"/>
    </row>
    <row r="47" spans="2:17" ht="19.95" customHeight="1" x14ac:dyDescent="0.3">
      <c r="B47" s="52" t="str">
        <f>'Satınalma Takvimi Veri Girişi'!$B$1</f>
        <v>3028 - MONA</v>
      </c>
      <c r="C47" s="54" t="s">
        <v>191</v>
      </c>
      <c r="D47" s="32">
        <v>1</v>
      </c>
      <c r="E47" s="33" t="str">
        <f t="shared" si="0"/>
        <v>IHL.3028.042/1</v>
      </c>
      <c r="F47" s="31" t="s">
        <v>22</v>
      </c>
      <c r="G47" s="34" t="s">
        <v>245</v>
      </c>
      <c r="H47" s="34" t="s">
        <v>244</v>
      </c>
      <c r="I47" s="35"/>
      <c r="J47" s="44">
        <v>14</v>
      </c>
      <c r="K47" s="45">
        <v>14</v>
      </c>
      <c r="L47" s="46">
        <v>28</v>
      </c>
      <c r="M47" s="47">
        <v>10</v>
      </c>
      <c r="N47" s="48">
        <v>14</v>
      </c>
      <c r="O47" s="49">
        <v>0</v>
      </c>
      <c r="P47" s="50">
        <v>14</v>
      </c>
      <c r="Q47" s="53"/>
    </row>
    <row r="48" spans="2:17" ht="19.95" customHeight="1" x14ac:dyDescent="0.3">
      <c r="B48" s="52" t="str">
        <f>'Satınalma Takvimi Veri Girişi'!$B$1</f>
        <v>3028 - MONA</v>
      </c>
      <c r="C48" s="54" t="s">
        <v>192</v>
      </c>
      <c r="D48" s="32">
        <v>1</v>
      </c>
      <c r="E48" s="33" t="str">
        <f t="shared" si="0"/>
        <v>IHL.3028.043/1</v>
      </c>
      <c r="F48" s="31" t="s">
        <v>115</v>
      </c>
      <c r="G48" s="34" t="s">
        <v>247</v>
      </c>
      <c r="H48" s="34" t="s">
        <v>244</v>
      </c>
      <c r="I48" s="35">
        <v>0</v>
      </c>
      <c r="J48" s="44">
        <v>14</v>
      </c>
      <c r="K48" s="45">
        <v>7</v>
      </c>
      <c r="L48" s="46">
        <v>14</v>
      </c>
      <c r="M48" s="47">
        <v>7</v>
      </c>
      <c r="N48" s="48">
        <v>7</v>
      </c>
      <c r="O48" s="49">
        <v>7</v>
      </c>
      <c r="P48" s="50">
        <v>28</v>
      </c>
      <c r="Q48" s="53"/>
    </row>
    <row r="49" spans="2:17" ht="19.95" customHeight="1" x14ac:dyDescent="0.3">
      <c r="B49" s="52" t="str">
        <f>'Satınalma Takvimi Veri Girişi'!$B$1</f>
        <v>3028 - MONA</v>
      </c>
      <c r="C49" s="32" t="s">
        <v>193</v>
      </c>
      <c r="D49" s="32">
        <v>1</v>
      </c>
      <c r="E49" s="33" t="str">
        <f t="shared" si="0"/>
        <v>IHL.3028.044/1</v>
      </c>
      <c r="F49" s="31" t="s">
        <v>65</v>
      </c>
      <c r="G49" s="34" t="s">
        <v>245</v>
      </c>
      <c r="H49" s="34" t="s">
        <v>244</v>
      </c>
      <c r="I49" s="35"/>
      <c r="J49" s="44">
        <v>14</v>
      </c>
      <c r="K49" s="37">
        <v>14</v>
      </c>
      <c r="L49" s="38">
        <v>21</v>
      </c>
      <c r="M49" s="39">
        <v>10</v>
      </c>
      <c r="N49" s="40">
        <v>14</v>
      </c>
      <c r="O49" s="41">
        <v>7</v>
      </c>
      <c r="P49" s="42">
        <v>7</v>
      </c>
      <c r="Q49" s="53"/>
    </row>
    <row r="50" spans="2:17" ht="19.95" customHeight="1" x14ac:dyDescent="0.3">
      <c r="B50" s="52" t="str">
        <f>'Satınalma Takvimi Veri Girişi'!$B$1</f>
        <v>3028 - MONA</v>
      </c>
      <c r="C50" s="54" t="s">
        <v>194</v>
      </c>
      <c r="D50" s="32">
        <v>1</v>
      </c>
      <c r="E50" s="33" t="str">
        <f t="shared" si="0"/>
        <v>IHL.3028.045/1</v>
      </c>
      <c r="F50" s="31" t="s">
        <v>24</v>
      </c>
      <c r="G50" s="34" t="s">
        <v>245</v>
      </c>
      <c r="H50" s="34" t="s">
        <v>244</v>
      </c>
      <c r="I50" s="35"/>
      <c r="J50" s="44">
        <v>14</v>
      </c>
      <c r="K50" s="37">
        <v>14</v>
      </c>
      <c r="L50" s="38">
        <v>21</v>
      </c>
      <c r="M50" s="39">
        <v>10</v>
      </c>
      <c r="N50" s="40">
        <v>14</v>
      </c>
      <c r="O50" s="41">
        <v>7</v>
      </c>
      <c r="P50" s="42">
        <v>7</v>
      </c>
      <c r="Q50" s="53"/>
    </row>
    <row r="51" spans="2:17" ht="19.95" customHeight="1" x14ac:dyDescent="0.3">
      <c r="B51" s="52" t="str">
        <f>'Satınalma Takvimi Veri Girişi'!$B$1</f>
        <v>3028 - MONA</v>
      </c>
      <c r="C51" s="54" t="s">
        <v>195</v>
      </c>
      <c r="D51" s="32">
        <v>1</v>
      </c>
      <c r="E51" s="33" t="str">
        <f t="shared" si="0"/>
        <v>IHL.3028.046/1</v>
      </c>
      <c r="F51" s="31" t="s">
        <v>142</v>
      </c>
      <c r="G51" s="34" t="s">
        <v>246</v>
      </c>
      <c r="H51" s="34" t="s">
        <v>244</v>
      </c>
      <c r="I51" s="35"/>
      <c r="J51" s="44">
        <v>14</v>
      </c>
      <c r="K51" s="45">
        <v>7</v>
      </c>
      <c r="L51" s="46">
        <v>14</v>
      </c>
      <c r="M51" s="47">
        <v>7</v>
      </c>
      <c r="N51" s="48">
        <v>7</v>
      </c>
      <c r="O51" s="49">
        <v>0</v>
      </c>
      <c r="P51" s="50">
        <v>14</v>
      </c>
      <c r="Q51" s="53"/>
    </row>
    <row r="52" spans="2:17" ht="19.95" customHeight="1" x14ac:dyDescent="0.3">
      <c r="B52" s="52" t="str">
        <f>'Satınalma Takvimi Veri Girişi'!$B$1</f>
        <v>3028 - MONA</v>
      </c>
      <c r="C52" s="32" t="s">
        <v>196</v>
      </c>
      <c r="D52" s="32">
        <v>1</v>
      </c>
      <c r="E52" s="33" t="str">
        <f t="shared" si="0"/>
        <v>IHL.3028.047/1</v>
      </c>
      <c r="F52" s="31" t="s">
        <v>20</v>
      </c>
      <c r="G52" s="34" t="s">
        <v>246</v>
      </c>
      <c r="H52" s="34" t="s">
        <v>244</v>
      </c>
      <c r="I52" s="35"/>
      <c r="J52" s="44">
        <v>14</v>
      </c>
      <c r="K52" s="45">
        <v>14</v>
      </c>
      <c r="L52" s="46">
        <v>28</v>
      </c>
      <c r="M52" s="47">
        <v>7</v>
      </c>
      <c r="N52" s="48">
        <v>7</v>
      </c>
      <c r="O52" s="49">
        <v>0</v>
      </c>
      <c r="P52" s="50">
        <v>14</v>
      </c>
      <c r="Q52" s="53"/>
    </row>
    <row r="53" spans="2:17" ht="19.95" customHeight="1" x14ac:dyDescent="0.3">
      <c r="B53" s="52" t="str">
        <f>'Satınalma Takvimi Veri Girişi'!$B$1</f>
        <v>3028 - MONA</v>
      </c>
      <c r="C53" s="54" t="s">
        <v>197</v>
      </c>
      <c r="D53" s="32">
        <v>1</v>
      </c>
      <c r="E53" s="33" t="str">
        <f t="shared" si="0"/>
        <v>IHL.3028.048/1</v>
      </c>
      <c r="F53" s="34" t="s">
        <v>145</v>
      </c>
      <c r="G53" s="34" t="s">
        <v>246</v>
      </c>
      <c r="H53" s="34" t="s">
        <v>244</v>
      </c>
      <c r="I53" s="35"/>
      <c r="J53" s="44">
        <v>14</v>
      </c>
      <c r="K53" s="45">
        <v>7</v>
      </c>
      <c r="L53" s="46">
        <v>21</v>
      </c>
      <c r="M53" s="47">
        <v>7</v>
      </c>
      <c r="N53" s="48">
        <v>7</v>
      </c>
      <c r="O53" s="49">
        <v>7</v>
      </c>
      <c r="P53" s="50">
        <v>28</v>
      </c>
      <c r="Q53" s="53"/>
    </row>
    <row r="54" spans="2:17" ht="19.95" customHeight="1" x14ac:dyDescent="0.3">
      <c r="B54" s="52" t="str">
        <f>'Satınalma Takvimi Veri Girişi'!$B$1</f>
        <v>3028 - MONA</v>
      </c>
      <c r="C54" s="54" t="s">
        <v>198</v>
      </c>
      <c r="D54" s="32">
        <v>1</v>
      </c>
      <c r="E54" s="33" t="str">
        <f t="shared" si="0"/>
        <v>IHL.3028.049/1</v>
      </c>
      <c r="F54" s="31" t="s">
        <v>21</v>
      </c>
      <c r="G54" s="34" t="s">
        <v>246</v>
      </c>
      <c r="H54" s="34" t="s">
        <v>244</v>
      </c>
      <c r="I54" s="35"/>
      <c r="J54" s="44">
        <v>14</v>
      </c>
      <c r="K54" s="45">
        <v>14</v>
      </c>
      <c r="L54" s="46">
        <v>28</v>
      </c>
      <c r="M54" s="47">
        <v>7</v>
      </c>
      <c r="N54" s="48">
        <v>7</v>
      </c>
      <c r="O54" s="49">
        <v>0</v>
      </c>
      <c r="P54" s="50">
        <v>7</v>
      </c>
      <c r="Q54" s="53"/>
    </row>
    <row r="55" spans="2:17" ht="19.95" customHeight="1" x14ac:dyDescent="0.3">
      <c r="B55" s="52" t="str">
        <f>'Satınalma Takvimi Veri Girişi'!$B$1</f>
        <v>3028 - MONA</v>
      </c>
      <c r="C55" s="32" t="s">
        <v>199</v>
      </c>
      <c r="D55" s="32">
        <v>1</v>
      </c>
      <c r="E55" s="33" t="str">
        <f t="shared" si="0"/>
        <v>IHL.3028.050/1</v>
      </c>
      <c r="F55" s="31" t="s">
        <v>48</v>
      </c>
      <c r="G55" s="34" t="s">
        <v>246</v>
      </c>
      <c r="H55" s="34" t="s">
        <v>244</v>
      </c>
      <c r="I55" s="35"/>
      <c r="J55" s="44">
        <v>14</v>
      </c>
      <c r="K55" s="45">
        <v>14</v>
      </c>
      <c r="L55" s="46">
        <v>28</v>
      </c>
      <c r="M55" s="47">
        <v>7</v>
      </c>
      <c r="N55" s="48">
        <v>7</v>
      </c>
      <c r="O55" s="49">
        <v>0</v>
      </c>
      <c r="P55" s="50">
        <v>7</v>
      </c>
      <c r="Q55" s="53"/>
    </row>
    <row r="56" spans="2:17" ht="19.95" customHeight="1" x14ac:dyDescent="0.3">
      <c r="B56" s="52" t="str">
        <f>'Satınalma Takvimi Veri Girişi'!$B$1</f>
        <v>3028 - MONA</v>
      </c>
      <c r="C56" s="54" t="s">
        <v>200</v>
      </c>
      <c r="D56" s="32">
        <v>1</v>
      </c>
      <c r="E56" s="33" t="str">
        <f t="shared" si="0"/>
        <v>IHL.3028.051/1</v>
      </c>
      <c r="F56" s="31" t="s">
        <v>98</v>
      </c>
      <c r="G56" s="34" t="s">
        <v>246</v>
      </c>
      <c r="H56" s="34" t="s">
        <v>244</v>
      </c>
      <c r="I56" s="35"/>
      <c r="J56" s="44">
        <v>14</v>
      </c>
      <c r="K56" s="45">
        <v>7</v>
      </c>
      <c r="L56" s="46">
        <v>21</v>
      </c>
      <c r="M56" s="47">
        <v>7</v>
      </c>
      <c r="N56" s="48">
        <v>7</v>
      </c>
      <c r="O56" s="49">
        <v>7</v>
      </c>
      <c r="P56" s="50">
        <v>28</v>
      </c>
      <c r="Q56" s="53"/>
    </row>
    <row r="57" spans="2:17" ht="19.95" customHeight="1" x14ac:dyDescent="0.3">
      <c r="B57" s="52" t="str">
        <f>'Satınalma Takvimi Veri Girişi'!$B$1</f>
        <v>3028 - MONA</v>
      </c>
      <c r="C57" s="54" t="s">
        <v>201</v>
      </c>
      <c r="D57" s="32">
        <v>1</v>
      </c>
      <c r="E57" s="33" t="str">
        <f t="shared" si="0"/>
        <v>IHL.3028.052/1</v>
      </c>
      <c r="F57" s="31" t="s">
        <v>49</v>
      </c>
      <c r="G57" s="34" t="s">
        <v>246</v>
      </c>
      <c r="H57" s="34" t="s">
        <v>244</v>
      </c>
      <c r="I57" s="35"/>
      <c r="J57" s="44">
        <v>14</v>
      </c>
      <c r="K57" s="45">
        <v>7</v>
      </c>
      <c r="L57" s="46">
        <v>28</v>
      </c>
      <c r="M57" s="47">
        <v>7</v>
      </c>
      <c r="N57" s="48">
        <v>7</v>
      </c>
      <c r="O57" s="49">
        <v>7</v>
      </c>
      <c r="P57" s="50">
        <v>14</v>
      </c>
      <c r="Q57" s="53"/>
    </row>
    <row r="58" spans="2:17" ht="19.95" customHeight="1" x14ac:dyDescent="0.3">
      <c r="B58" s="52" t="str">
        <f>'Satınalma Takvimi Veri Girişi'!$B$1</f>
        <v>3028 - MONA</v>
      </c>
      <c r="C58" s="32" t="s">
        <v>202</v>
      </c>
      <c r="D58" s="32">
        <v>1</v>
      </c>
      <c r="E58" s="33" t="str">
        <f t="shared" si="0"/>
        <v>IHL.3028.053/1</v>
      </c>
      <c r="F58" s="31" t="s">
        <v>128</v>
      </c>
      <c r="G58" s="34" t="s">
        <v>246</v>
      </c>
      <c r="H58" s="34" t="s">
        <v>244</v>
      </c>
      <c r="I58" s="35"/>
      <c r="J58" s="44">
        <v>14</v>
      </c>
      <c r="K58" s="45">
        <v>7</v>
      </c>
      <c r="L58" s="46">
        <v>14</v>
      </c>
      <c r="M58" s="47">
        <v>7</v>
      </c>
      <c r="N58" s="48">
        <v>7</v>
      </c>
      <c r="O58" s="49">
        <v>7</v>
      </c>
      <c r="P58" s="50">
        <v>28</v>
      </c>
      <c r="Q58" s="53"/>
    </row>
    <row r="59" spans="2:17" ht="19.95" customHeight="1" x14ac:dyDescent="0.3">
      <c r="B59" s="52" t="str">
        <f>'Satınalma Takvimi Veri Girişi'!$B$1</f>
        <v>3028 - MONA</v>
      </c>
      <c r="C59" s="54" t="s">
        <v>203</v>
      </c>
      <c r="D59" s="32">
        <v>1</v>
      </c>
      <c r="E59" s="33" t="str">
        <f t="shared" si="0"/>
        <v>IHL.3028.054/1</v>
      </c>
      <c r="F59" s="31" t="s">
        <v>16</v>
      </c>
      <c r="G59" s="34" t="s">
        <v>245</v>
      </c>
      <c r="H59" s="34" t="s">
        <v>244</v>
      </c>
      <c r="I59" s="35"/>
      <c r="J59" s="44">
        <v>14</v>
      </c>
      <c r="K59" s="45">
        <v>7</v>
      </c>
      <c r="L59" s="46">
        <v>21</v>
      </c>
      <c r="M59" s="47">
        <v>10</v>
      </c>
      <c r="N59" s="48">
        <v>14</v>
      </c>
      <c r="O59" s="49">
        <v>28</v>
      </c>
      <c r="P59" s="50">
        <v>45</v>
      </c>
      <c r="Q59" s="53"/>
    </row>
    <row r="60" spans="2:17" ht="19.95" customHeight="1" x14ac:dyDescent="0.3">
      <c r="B60" s="52" t="str">
        <f>'Satınalma Takvimi Veri Girişi'!$B$1</f>
        <v>3028 - MONA</v>
      </c>
      <c r="C60" s="54" t="s">
        <v>204</v>
      </c>
      <c r="D60" s="32">
        <v>1</v>
      </c>
      <c r="E60" s="33" t="str">
        <f t="shared" si="0"/>
        <v>IHL.3028.055/1</v>
      </c>
      <c r="F60" s="31" t="s">
        <v>17</v>
      </c>
      <c r="G60" s="34" t="s">
        <v>246</v>
      </c>
      <c r="H60" s="34" t="s">
        <v>244</v>
      </c>
      <c r="I60" s="35"/>
      <c r="J60" s="44">
        <v>14</v>
      </c>
      <c r="K60" s="45">
        <v>7</v>
      </c>
      <c r="L60" s="46">
        <v>21</v>
      </c>
      <c r="M60" s="47">
        <v>7</v>
      </c>
      <c r="N60" s="48">
        <v>14</v>
      </c>
      <c r="O60" s="49">
        <v>28</v>
      </c>
      <c r="P60" s="50">
        <v>45</v>
      </c>
      <c r="Q60" s="53"/>
    </row>
    <row r="61" spans="2:17" ht="19.95" customHeight="1" x14ac:dyDescent="0.3">
      <c r="B61" s="52" t="str">
        <f>'Satınalma Takvimi Veri Girişi'!$B$1</f>
        <v>3028 - MONA</v>
      </c>
      <c r="C61" s="32" t="s">
        <v>205</v>
      </c>
      <c r="D61" s="32">
        <v>1</v>
      </c>
      <c r="E61" s="33" t="str">
        <f t="shared" si="0"/>
        <v>IHL.3028.056/1</v>
      </c>
      <c r="F61" s="31" t="s">
        <v>110</v>
      </c>
      <c r="G61" s="34" t="s">
        <v>246</v>
      </c>
      <c r="H61" s="34" t="s">
        <v>244</v>
      </c>
      <c r="I61" s="35"/>
      <c r="J61" s="44">
        <v>14</v>
      </c>
      <c r="K61" s="45">
        <v>7</v>
      </c>
      <c r="L61" s="46">
        <v>14</v>
      </c>
      <c r="M61" s="47">
        <v>7</v>
      </c>
      <c r="N61" s="48">
        <v>7</v>
      </c>
      <c r="O61" s="49">
        <v>7</v>
      </c>
      <c r="P61" s="50">
        <v>45</v>
      </c>
      <c r="Q61" s="53"/>
    </row>
    <row r="62" spans="2:17" ht="19.95" customHeight="1" x14ac:dyDescent="0.3">
      <c r="B62" s="52" t="str">
        <f>'Satınalma Takvimi Veri Girişi'!$B$1</f>
        <v>3028 - MONA</v>
      </c>
      <c r="C62" s="54" t="s">
        <v>206</v>
      </c>
      <c r="D62" s="32">
        <v>1</v>
      </c>
      <c r="E62" s="33" t="str">
        <f t="shared" si="0"/>
        <v>IHL.3028.057/1</v>
      </c>
      <c r="F62" s="31" t="s">
        <v>12</v>
      </c>
      <c r="G62" s="34" t="s">
        <v>245</v>
      </c>
      <c r="H62" s="34" t="s">
        <v>244</v>
      </c>
      <c r="I62" s="35"/>
      <c r="J62" s="44">
        <v>14</v>
      </c>
      <c r="K62" s="45">
        <v>14</v>
      </c>
      <c r="L62" s="46">
        <v>45</v>
      </c>
      <c r="M62" s="47">
        <v>10</v>
      </c>
      <c r="N62" s="48">
        <v>21</v>
      </c>
      <c r="O62" s="49">
        <v>28</v>
      </c>
      <c r="P62" s="50">
        <v>60</v>
      </c>
      <c r="Q62" s="53"/>
    </row>
    <row r="63" spans="2:17" ht="19.95" customHeight="1" x14ac:dyDescent="0.3">
      <c r="B63" s="52" t="str">
        <f>'Satınalma Takvimi Veri Girişi'!$B$1</f>
        <v>3028 - MONA</v>
      </c>
      <c r="C63" s="54" t="s">
        <v>207</v>
      </c>
      <c r="D63" s="32">
        <v>1</v>
      </c>
      <c r="E63" s="33" t="str">
        <f t="shared" si="0"/>
        <v>IHL.3028.058/1</v>
      </c>
      <c r="F63" s="31" t="s">
        <v>146</v>
      </c>
      <c r="G63" s="34" t="s">
        <v>245</v>
      </c>
      <c r="H63" s="34" t="s">
        <v>244</v>
      </c>
      <c r="I63" s="35"/>
      <c r="J63" s="44">
        <v>14</v>
      </c>
      <c r="K63" s="45">
        <v>7</v>
      </c>
      <c r="L63" s="46">
        <v>14</v>
      </c>
      <c r="M63" s="47">
        <v>10</v>
      </c>
      <c r="N63" s="48">
        <v>14</v>
      </c>
      <c r="O63" s="49">
        <v>7</v>
      </c>
      <c r="P63" s="50">
        <v>90</v>
      </c>
      <c r="Q63" s="53"/>
    </row>
    <row r="64" spans="2:17" ht="19.95" customHeight="1" x14ac:dyDescent="0.3">
      <c r="B64" s="52" t="str">
        <f>'Satınalma Takvimi Veri Girişi'!$B$1</f>
        <v>3028 - MONA</v>
      </c>
      <c r="C64" s="32" t="s">
        <v>208</v>
      </c>
      <c r="D64" s="32">
        <v>1</v>
      </c>
      <c r="E64" s="33" t="str">
        <f t="shared" si="0"/>
        <v>IHL.3028.059/1</v>
      </c>
      <c r="F64" s="31" t="s">
        <v>111</v>
      </c>
      <c r="G64" s="34" t="s">
        <v>246</v>
      </c>
      <c r="H64" s="34" t="s">
        <v>244</v>
      </c>
      <c r="I64" s="35"/>
      <c r="J64" s="44">
        <v>14</v>
      </c>
      <c r="K64" s="45">
        <v>7</v>
      </c>
      <c r="L64" s="46">
        <v>21</v>
      </c>
      <c r="M64" s="47">
        <v>7</v>
      </c>
      <c r="N64" s="48">
        <v>7</v>
      </c>
      <c r="O64" s="49">
        <v>7</v>
      </c>
      <c r="P64" s="50">
        <v>28</v>
      </c>
      <c r="Q64" s="53"/>
    </row>
    <row r="65" spans="2:17" ht="19.95" customHeight="1" x14ac:dyDescent="0.3">
      <c r="B65" s="52" t="str">
        <f>'Satınalma Takvimi Veri Girişi'!$B$1</f>
        <v>3028 - MONA</v>
      </c>
      <c r="C65" s="54" t="s">
        <v>209</v>
      </c>
      <c r="D65" s="32">
        <v>1</v>
      </c>
      <c r="E65" s="33" t="str">
        <f t="shared" si="0"/>
        <v>IHL.3028.060/1</v>
      </c>
      <c r="F65" s="31" t="s">
        <v>58</v>
      </c>
      <c r="G65" s="34" t="s">
        <v>246</v>
      </c>
      <c r="H65" s="34" t="s">
        <v>244</v>
      </c>
      <c r="I65" s="35"/>
      <c r="J65" s="44">
        <v>14</v>
      </c>
      <c r="K65" s="45">
        <v>14</v>
      </c>
      <c r="L65" s="46">
        <v>28</v>
      </c>
      <c r="M65" s="47">
        <v>7</v>
      </c>
      <c r="N65" s="48">
        <v>21</v>
      </c>
      <c r="O65" s="49">
        <v>28</v>
      </c>
      <c r="P65" s="50">
        <v>14</v>
      </c>
      <c r="Q65" s="53"/>
    </row>
    <row r="66" spans="2:17" ht="19.95" customHeight="1" x14ac:dyDescent="0.3">
      <c r="B66" s="52" t="str">
        <f>'Satınalma Takvimi Veri Girişi'!$B$1</f>
        <v>3028 - MONA</v>
      </c>
      <c r="C66" s="54" t="s">
        <v>210</v>
      </c>
      <c r="D66" s="32">
        <v>1</v>
      </c>
      <c r="E66" s="33" t="str">
        <f t="shared" si="0"/>
        <v>IHL.3028.061/1</v>
      </c>
      <c r="F66" s="31" t="s">
        <v>10</v>
      </c>
      <c r="G66" s="34" t="s">
        <v>245</v>
      </c>
      <c r="H66" s="34" t="s">
        <v>244</v>
      </c>
      <c r="I66" s="35"/>
      <c r="J66" s="44">
        <v>14</v>
      </c>
      <c r="K66" s="45">
        <v>14</v>
      </c>
      <c r="L66" s="46">
        <v>28</v>
      </c>
      <c r="M66" s="47">
        <v>10</v>
      </c>
      <c r="N66" s="48">
        <v>14</v>
      </c>
      <c r="O66" s="49">
        <v>14</v>
      </c>
      <c r="P66" s="50">
        <v>28</v>
      </c>
      <c r="Q66" s="53"/>
    </row>
    <row r="67" spans="2:17" ht="19.95" customHeight="1" x14ac:dyDescent="0.3">
      <c r="B67" s="52" t="str">
        <f>'Satınalma Takvimi Veri Girişi'!$B$1</f>
        <v>3028 - MONA</v>
      </c>
      <c r="C67" s="32" t="s">
        <v>211</v>
      </c>
      <c r="D67" s="32">
        <v>1</v>
      </c>
      <c r="E67" s="33" t="str">
        <f t="shared" si="0"/>
        <v>IHL.3028.062/1</v>
      </c>
      <c r="F67" s="31" t="s">
        <v>13</v>
      </c>
      <c r="G67" s="34" t="s">
        <v>246</v>
      </c>
      <c r="H67" s="34" t="s">
        <v>244</v>
      </c>
      <c r="I67" s="35"/>
      <c r="J67" s="44">
        <v>14</v>
      </c>
      <c r="K67" s="45">
        <v>7</v>
      </c>
      <c r="L67" s="46">
        <v>21</v>
      </c>
      <c r="M67" s="47">
        <v>7</v>
      </c>
      <c r="N67" s="48">
        <v>14</v>
      </c>
      <c r="O67" s="49">
        <v>7</v>
      </c>
      <c r="P67" s="50">
        <v>21</v>
      </c>
      <c r="Q67" s="53"/>
    </row>
    <row r="68" spans="2:17" ht="19.95" customHeight="1" x14ac:dyDescent="0.3">
      <c r="B68" s="52" t="str">
        <f>'Satınalma Takvimi Veri Girişi'!$B$1</f>
        <v>3028 - MONA</v>
      </c>
      <c r="C68" s="54" t="s">
        <v>212</v>
      </c>
      <c r="D68" s="32">
        <v>1</v>
      </c>
      <c r="E68" s="33" t="str">
        <f t="shared" si="0"/>
        <v>IHL.3028.063/1</v>
      </c>
      <c r="F68" s="31" t="s">
        <v>67</v>
      </c>
      <c r="G68" s="34" t="s">
        <v>246</v>
      </c>
      <c r="H68" s="34" t="s">
        <v>244</v>
      </c>
      <c r="I68" s="35"/>
      <c r="J68" s="44">
        <v>14</v>
      </c>
      <c r="K68" s="45">
        <v>14</v>
      </c>
      <c r="L68" s="46">
        <v>21</v>
      </c>
      <c r="M68" s="47">
        <v>7</v>
      </c>
      <c r="N68" s="48">
        <v>7</v>
      </c>
      <c r="O68" s="49">
        <v>14</v>
      </c>
      <c r="P68" s="50">
        <v>14</v>
      </c>
      <c r="Q68" s="53"/>
    </row>
    <row r="69" spans="2:17" ht="19.95" customHeight="1" x14ac:dyDescent="0.3">
      <c r="B69" s="52" t="str">
        <f>'Satınalma Takvimi Veri Girişi'!$B$1</f>
        <v>3028 - MONA</v>
      </c>
      <c r="C69" s="54" t="s">
        <v>213</v>
      </c>
      <c r="D69" s="32">
        <v>1</v>
      </c>
      <c r="E69" s="33" t="str">
        <f t="shared" si="0"/>
        <v>IHL.3028.064/1</v>
      </c>
      <c r="F69" s="31" t="s">
        <v>14</v>
      </c>
      <c r="G69" s="34" t="s">
        <v>245</v>
      </c>
      <c r="H69" s="34" t="s">
        <v>244</v>
      </c>
      <c r="I69" s="35"/>
      <c r="J69" s="44">
        <v>14</v>
      </c>
      <c r="K69" s="45">
        <v>14</v>
      </c>
      <c r="L69" s="46">
        <v>28</v>
      </c>
      <c r="M69" s="47">
        <v>10</v>
      </c>
      <c r="N69" s="48">
        <v>14</v>
      </c>
      <c r="O69" s="49">
        <v>7</v>
      </c>
      <c r="P69" s="50">
        <v>60</v>
      </c>
      <c r="Q69" s="53"/>
    </row>
    <row r="70" spans="2:17" ht="19.95" customHeight="1" x14ac:dyDescent="0.3">
      <c r="B70" s="52" t="str">
        <f>'Satınalma Takvimi Veri Girişi'!$B$1</f>
        <v>3028 - MONA</v>
      </c>
      <c r="C70" s="32" t="s">
        <v>214</v>
      </c>
      <c r="D70" s="32">
        <v>1</v>
      </c>
      <c r="E70" s="33" t="str">
        <f t="shared" si="0"/>
        <v>IHL.3028.065/1</v>
      </c>
      <c r="F70" s="31" t="s">
        <v>18</v>
      </c>
      <c r="G70" s="34" t="s">
        <v>245</v>
      </c>
      <c r="H70" s="34" t="s">
        <v>244</v>
      </c>
      <c r="I70" s="35"/>
      <c r="J70" s="44">
        <v>14</v>
      </c>
      <c r="K70" s="45">
        <v>14</v>
      </c>
      <c r="L70" s="46">
        <v>60</v>
      </c>
      <c r="M70" s="47">
        <v>10</v>
      </c>
      <c r="N70" s="48">
        <v>21</v>
      </c>
      <c r="O70" s="49">
        <v>28</v>
      </c>
      <c r="P70" s="50">
        <v>60</v>
      </c>
      <c r="Q70" s="53"/>
    </row>
    <row r="71" spans="2:17" ht="19.95" customHeight="1" x14ac:dyDescent="0.3">
      <c r="B71" s="52" t="str">
        <f>'Satınalma Takvimi Veri Girişi'!$B$1</f>
        <v>3028 - MONA</v>
      </c>
      <c r="C71" s="54" t="s">
        <v>215</v>
      </c>
      <c r="D71" s="32">
        <v>1</v>
      </c>
      <c r="E71" s="33" t="str">
        <f t="shared" si="0"/>
        <v>IHL.3028.066/1</v>
      </c>
      <c r="F71" s="31" t="s">
        <v>53</v>
      </c>
      <c r="G71" s="34" t="s">
        <v>246</v>
      </c>
      <c r="H71" s="34" t="s">
        <v>244</v>
      </c>
      <c r="I71" s="35"/>
      <c r="J71" s="44">
        <v>14</v>
      </c>
      <c r="K71" s="45">
        <v>7</v>
      </c>
      <c r="L71" s="46">
        <v>14</v>
      </c>
      <c r="M71" s="47">
        <v>7</v>
      </c>
      <c r="N71" s="48">
        <v>7</v>
      </c>
      <c r="O71" s="49">
        <v>7</v>
      </c>
      <c r="P71" s="50">
        <v>28</v>
      </c>
      <c r="Q71" s="53"/>
    </row>
    <row r="72" spans="2:17" ht="19.95" customHeight="1" x14ac:dyDescent="0.3">
      <c r="B72" s="52" t="str">
        <f>'Satınalma Takvimi Veri Girişi'!$B$1</f>
        <v>3028 - MONA</v>
      </c>
      <c r="C72" s="54" t="s">
        <v>216</v>
      </c>
      <c r="D72" s="32">
        <v>1</v>
      </c>
      <c r="E72" s="33" t="str">
        <f t="shared" si="0"/>
        <v>IHL.3028.067/1</v>
      </c>
      <c r="F72" s="31" t="s">
        <v>50</v>
      </c>
      <c r="G72" s="34" t="s">
        <v>246</v>
      </c>
      <c r="H72" s="34" t="s">
        <v>244</v>
      </c>
      <c r="I72" s="35"/>
      <c r="J72" s="44">
        <v>14</v>
      </c>
      <c r="K72" s="45">
        <v>7</v>
      </c>
      <c r="L72" s="46">
        <v>21</v>
      </c>
      <c r="M72" s="47">
        <v>7</v>
      </c>
      <c r="N72" s="48">
        <v>14</v>
      </c>
      <c r="O72" s="49">
        <v>7</v>
      </c>
      <c r="P72" s="50">
        <v>28</v>
      </c>
      <c r="Q72" s="53"/>
    </row>
    <row r="73" spans="2:17" ht="19.95" customHeight="1" x14ac:dyDescent="0.3">
      <c r="B73" s="52" t="str">
        <f>'Satınalma Takvimi Veri Girişi'!$B$1</f>
        <v>3028 - MONA</v>
      </c>
      <c r="C73" s="32" t="s">
        <v>217</v>
      </c>
      <c r="D73" s="32">
        <v>1</v>
      </c>
      <c r="E73" s="33" t="str">
        <f t="shared" si="0"/>
        <v>IHL.3028.068/1</v>
      </c>
      <c r="F73" s="31" t="s">
        <v>51</v>
      </c>
      <c r="G73" s="34" t="s">
        <v>246</v>
      </c>
      <c r="H73" s="34" t="s">
        <v>244</v>
      </c>
      <c r="I73" s="35"/>
      <c r="J73" s="44">
        <v>14</v>
      </c>
      <c r="K73" s="45">
        <v>7</v>
      </c>
      <c r="L73" s="46">
        <v>21</v>
      </c>
      <c r="M73" s="47">
        <v>7</v>
      </c>
      <c r="N73" s="48">
        <v>14</v>
      </c>
      <c r="O73" s="49">
        <v>7</v>
      </c>
      <c r="P73" s="50">
        <v>28</v>
      </c>
      <c r="Q73" s="53"/>
    </row>
    <row r="74" spans="2:17" ht="19.95" customHeight="1" x14ac:dyDescent="0.3">
      <c r="B74" s="52" t="str">
        <f>'Satınalma Takvimi Veri Girişi'!$B$1</f>
        <v>3028 - MONA</v>
      </c>
      <c r="C74" s="54" t="s">
        <v>218</v>
      </c>
      <c r="D74" s="32">
        <v>1</v>
      </c>
      <c r="E74" s="33" t="str">
        <f t="shared" si="0"/>
        <v>IHL.3028.069/1</v>
      </c>
      <c r="F74" s="31" t="s">
        <v>19</v>
      </c>
      <c r="G74" s="34" t="s">
        <v>246</v>
      </c>
      <c r="H74" s="34" t="s">
        <v>244</v>
      </c>
      <c r="I74" s="35"/>
      <c r="J74" s="44">
        <v>14</v>
      </c>
      <c r="K74" s="45">
        <v>7</v>
      </c>
      <c r="L74" s="46">
        <v>21</v>
      </c>
      <c r="M74" s="47">
        <v>7</v>
      </c>
      <c r="N74" s="48">
        <v>14</v>
      </c>
      <c r="O74" s="49">
        <v>7</v>
      </c>
      <c r="P74" s="50">
        <v>28</v>
      </c>
      <c r="Q74" s="53"/>
    </row>
    <row r="75" spans="2:17" ht="19.95" customHeight="1" x14ac:dyDescent="0.3">
      <c r="B75" s="52" t="str">
        <f>'Satınalma Takvimi Veri Girişi'!$B$1</f>
        <v>3028 - MONA</v>
      </c>
      <c r="C75" s="54" t="s">
        <v>219</v>
      </c>
      <c r="D75" s="32">
        <v>1</v>
      </c>
      <c r="E75" s="33" t="str">
        <f t="shared" si="0"/>
        <v>IHL.3028.070/1</v>
      </c>
      <c r="F75" s="31" t="s">
        <v>288</v>
      </c>
      <c r="G75" s="34" t="s">
        <v>246</v>
      </c>
      <c r="H75" s="34" t="s">
        <v>244</v>
      </c>
      <c r="I75" s="35"/>
      <c r="J75" s="44">
        <v>14</v>
      </c>
      <c r="K75" s="45">
        <v>7</v>
      </c>
      <c r="L75" s="46">
        <v>14</v>
      </c>
      <c r="M75" s="47">
        <v>7</v>
      </c>
      <c r="N75" s="48">
        <v>7</v>
      </c>
      <c r="O75" s="49">
        <v>7</v>
      </c>
      <c r="P75" s="50">
        <v>60</v>
      </c>
      <c r="Q75" s="53"/>
    </row>
    <row r="76" spans="2:17" ht="19.95" customHeight="1" x14ac:dyDescent="0.3">
      <c r="B76" s="52" t="str">
        <f>'Satınalma Takvimi Veri Girişi'!$B$1</f>
        <v>3028 - MONA</v>
      </c>
      <c r="C76" s="32" t="s">
        <v>220</v>
      </c>
      <c r="D76" s="32">
        <v>1</v>
      </c>
      <c r="E76" s="33" t="str">
        <f t="shared" ref="E76" si="1">CONCATENATE("IHL.",LEFT(B76,4),".",C76,"/",D76)</f>
        <v>IHL.3028.071/1</v>
      </c>
      <c r="F76" s="31" t="s">
        <v>127</v>
      </c>
      <c r="G76" s="34" t="s">
        <v>246</v>
      </c>
      <c r="H76" s="34" t="s">
        <v>244</v>
      </c>
      <c r="I76" s="35"/>
      <c r="J76" s="44">
        <v>14</v>
      </c>
      <c r="K76" s="45">
        <v>7</v>
      </c>
      <c r="L76" s="46">
        <v>14</v>
      </c>
      <c r="M76" s="47">
        <v>7</v>
      </c>
      <c r="N76" s="48">
        <v>7</v>
      </c>
      <c r="O76" s="49">
        <v>0</v>
      </c>
      <c r="P76" s="50">
        <v>7</v>
      </c>
      <c r="Q76" s="53"/>
    </row>
    <row r="77" spans="2:17" ht="19.95" customHeight="1" x14ac:dyDescent="0.3">
      <c r="B77" s="52" t="str">
        <f>'Satınalma Takvimi Veri Girişi'!$B$1</f>
        <v>3028 - MONA</v>
      </c>
      <c r="C77" s="54" t="s">
        <v>221</v>
      </c>
      <c r="D77" s="32">
        <v>1</v>
      </c>
      <c r="E77" s="33" t="str">
        <f t="shared" si="0"/>
        <v>IHL.3028.072/1</v>
      </c>
      <c r="F77" s="31" t="s">
        <v>106</v>
      </c>
      <c r="G77" s="34" t="s">
        <v>246</v>
      </c>
      <c r="H77" s="34" t="s">
        <v>244</v>
      </c>
      <c r="I77" s="35"/>
      <c r="J77" s="44">
        <v>14</v>
      </c>
      <c r="K77" s="45">
        <v>7</v>
      </c>
      <c r="L77" s="46">
        <v>21</v>
      </c>
      <c r="M77" s="47">
        <v>7</v>
      </c>
      <c r="N77" s="48">
        <v>7</v>
      </c>
      <c r="O77" s="49">
        <v>7</v>
      </c>
      <c r="P77" s="50">
        <v>60</v>
      </c>
      <c r="Q77" s="53"/>
    </row>
    <row r="78" spans="2:17" ht="19.95" customHeight="1" x14ac:dyDescent="0.3">
      <c r="B78" s="52" t="str">
        <f>'Satınalma Takvimi Veri Girişi'!$B$1</f>
        <v>3028 - MONA</v>
      </c>
      <c r="C78" s="54" t="s">
        <v>222</v>
      </c>
      <c r="D78" s="32">
        <v>1</v>
      </c>
      <c r="E78" s="33" t="str">
        <f t="shared" ref="E78:E117" si="2">CONCATENATE("IHL.",LEFT(B78,4),".",C78,"/",D78)</f>
        <v>IHL.3028.073/1</v>
      </c>
      <c r="F78" s="31" t="s">
        <v>108</v>
      </c>
      <c r="G78" s="34" t="s">
        <v>246</v>
      </c>
      <c r="H78" s="34" t="s">
        <v>244</v>
      </c>
      <c r="I78" s="35"/>
      <c r="J78" s="44">
        <v>14</v>
      </c>
      <c r="K78" s="45">
        <v>7</v>
      </c>
      <c r="L78" s="46">
        <v>21</v>
      </c>
      <c r="M78" s="47">
        <v>7</v>
      </c>
      <c r="N78" s="48">
        <v>7</v>
      </c>
      <c r="O78" s="49">
        <v>7</v>
      </c>
      <c r="P78" s="50">
        <v>60</v>
      </c>
      <c r="Q78" s="53"/>
    </row>
    <row r="79" spans="2:17" ht="19.95" customHeight="1" x14ac:dyDescent="0.3">
      <c r="B79" s="52" t="str">
        <f>'Satınalma Takvimi Veri Girişi'!$B$1</f>
        <v>3028 - MONA</v>
      </c>
      <c r="C79" s="32" t="s">
        <v>223</v>
      </c>
      <c r="D79" s="32">
        <v>1</v>
      </c>
      <c r="E79" s="33" t="str">
        <f t="shared" si="2"/>
        <v>IHL.3028.074/1</v>
      </c>
      <c r="F79" s="31" t="s">
        <v>147</v>
      </c>
      <c r="G79" s="34" t="s">
        <v>246</v>
      </c>
      <c r="H79" s="34" t="s">
        <v>244</v>
      </c>
      <c r="I79" s="35"/>
      <c r="J79" s="44">
        <v>14</v>
      </c>
      <c r="K79" s="45">
        <v>7</v>
      </c>
      <c r="L79" s="46">
        <v>21</v>
      </c>
      <c r="M79" s="47">
        <v>7</v>
      </c>
      <c r="N79" s="48">
        <v>7</v>
      </c>
      <c r="O79" s="49">
        <v>7</v>
      </c>
      <c r="P79" s="50">
        <v>45</v>
      </c>
      <c r="Q79" s="53"/>
    </row>
    <row r="80" spans="2:17" ht="19.95" customHeight="1" x14ac:dyDescent="0.3">
      <c r="B80" s="52" t="str">
        <f>'Satınalma Takvimi Veri Girişi'!$B$1</f>
        <v>3028 - MONA</v>
      </c>
      <c r="C80" s="54" t="s">
        <v>224</v>
      </c>
      <c r="D80" s="32">
        <v>1</v>
      </c>
      <c r="E80" s="33" t="str">
        <f t="shared" si="2"/>
        <v>IHL.3028.075/1</v>
      </c>
      <c r="F80" s="31" t="s">
        <v>109</v>
      </c>
      <c r="G80" s="34" t="s">
        <v>246</v>
      </c>
      <c r="H80" s="34" t="s">
        <v>244</v>
      </c>
      <c r="I80" s="35"/>
      <c r="J80" s="44">
        <v>14</v>
      </c>
      <c r="K80" s="45">
        <v>7</v>
      </c>
      <c r="L80" s="46">
        <v>21</v>
      </c>
      <c r="M80" s="47">
        <v>7</v>
      </c>
      <c r="N80" s="48">
        <v>7</v>
      </c>
      <c r="O80" s="49">
        <v>7</v>
      </c>
      <c r="P80" s="50">
        <v>28</v>
      </c>
      <c r="Q80" s="53"/>
    </row>
    <row r="81" spans="2:17" ht="19.95" customHeight="1" x14ac:dyDescent="0.3">
      <c r="B81" s="52" t="str">
        <f>'Satınalma Takvimi Veri Girişi'!$B$1</f>
        <v>3028 - MONA</v>
      </c>
      <c r="C81" s="54" t="s">
        <v>225</v>
      </c>
      <c r="D81" s="32">
        <v>1</v>
      </c>
      <c r="E81" s="33" t="str">
        <f t="shared" si="2"/>
        <v>IHL.3028.076/1</v>
      </c>
      <c r="F81" s="31" t="s">
        <v>26</v>
      </c>
      <c r="G81" s="34" t="s">
        <v>246</v>
      </c>
      <c r="H81" s="34" t="s">
        <v>244</v>
      </c>
      <c r="I81" s="35"/>
      <c r="J81" s="44">
        <v>14</v>
      </c>
      <c r="K81" s="45">
        <v>7</v>
      </c>
      <c r="L81" s="46">
        <v>21</v>
      </c>
      <c r="M81" s="47">
        <v>7</v>
      </c>
      <c r="N81" s="48">
        <v>14</v>
      </c>
      <c r="O81" s="49">
        <v>7</v>
      </c>
      <c r="P81" s="50">
        <v>45</v>
      </c>
      <c r="Q81" s="53"/>
    </row>
    <row r="82" spans="2:17" ht="19.95" customHeight="1" x14ac:dyDescent="0.3">
      <c r="B82" s="52" t="str">
        <f>'Satınalma Takvimi Veri Girişi'!$B$1</f>
        <v>3028 - MONA</v>
      </c>
      <c r="C82" s="32" t="s">
        <v>226</v>
      </c>
      <c r="D82" s="32">
        <v>1</v>
      </c>
      <c r="E82" s="33" t="str">
        <f t="shared" si="2"/>
        <v>IHL.3028.077/1</v>
      </c>
      <c r="F82" s="31" t="s">
        <v>144</v>
      </c>
      <c r="G82" s="34" t="s">
        <v>246</v>
      </c>
      <c r="H82" s="34" t="s">
        <v>244</v>
      </c>
      <c r="I82" s="35"/>
      <c r="J82" s="44">
        <v>14</v>
      </c>
      <c r="K82" s="45">
        <v>7</v>
      </c>
      <c r="L82" s="46">
        <v>21</v>
      </c>
      <c r="M82" s="47">
        <v>7</v>
      </c>
      <c r="N82" s="48">
        <v>7</v>
      </c>
      <c r="O82" s="49">
        <v>7</v>
      </c>
      <c r="P82" s="50">
        <v>28</v>
      </c>
      <c r="Q82" s="53"/>
    </row>
    <row r="83" spans="2:17" ht="19.95" customHeight="1" x14ac:dyDescent="0.3">
      <c r="B83" s="52" t="str">
        <f>'Satınalma Takvimi Veri Girişi'!$B$1</f>
        <v>3028 - MONA</v>
      </c>
      <c r="C83" s="54" t="s">
        <v>227</v>
      </c>
      <c r="D83" s="32">
        <v>1</v>
      </c>
      <c r="E83" s="33" t="str">
        <f t="shared" si="2"/>
        <v>IHL.3028.078/1</v>
      </c>
      <c r="F83" s="31" t="s">
        <v>25</v>
      </c>
      <c r="G83" s="34" t="s">
        <v>246</v>
      </c>
      <c r="H83" s="34" t="s">
        <v>244</v>
      </c>
      <c r="I83" s="35"/>
      <c r="J83" s="44">
        <v>14</v>
      </c>
      <c r="K83" s="45">
        <v>7</v>
      </c>
      <c r="L83" s="46">
        <v>14</v>
      </c>
      <c r="M83" s="47">
        <v>7</v>
      </c>
      <c r="N83" s="48">
        <v>7</v>
      </c>
      <c r="O83" s="49">
        <v>7</v>
      </c>
      <c r="P83" s="50">
        <v>28</v>
      </c>
      <c r="Q83" s="53"/>
    </row>
    <row r="84" spans="2:17" ht="19.95" customHeight="1" x14ac:dyDescent="0.3">
      <c r="B84" s="52" t="str">
        <f>'Satınalma Takvimi Veri Girişi'!$B$1</f>
        <v>3028 - MONA</v>
      </c>
      <c r="C84" s="54" t="s">
        <v>228</v>
      </c>
      <c r="D84" s="32">
        <v>1</v>
      </c>
      <c r="E84" s="33" t="str">
        <f t="shared" si="2"/>
        <v>IHL.3028.079/1</v>
      </c>
      <c r="F84" s="31" t="s">
        <v>66</v>
      </c>
      <c r="G84" s="34" t="s">
        <v>246</v>
      </c>
      <c r="H84" s="34" t="s">
        <v>244</v>
      </c>
      <c r="I84" s="35"/>
      <c r="J84" s="44">
        <v>14</v>
      </c>
      <c r="K84" s="45">
        <v>14</v>
      </c>
      <c r="L84" s="46">
        <v>21</v>
      </c>
      <c r="M84" s="47">
        <v>7</v>
      </c>
      <c r="N84" s="48">
        <v>14</v>
      </c>
      <c r="O84" s="49">
        <v>14</v>
      </c>
      <c r="P84" s="50">
        <v>14</v>
      </c>
      <c r="Q84" s="53"/>
    </row>
    <row r="85" spans="2:17" ht="19.95" customHeight="1" x14ac:dyDescent="0.3">
      <c r="B85" s="52" t="str">
        <f>'Satınalma Takvimi Veri Girişi'!$B$1</f>
        <v>3028 - MONA</v>
      </c>
      <c r="C85" s="32" t="s">
        <v>229</v>
      </c>
      <c r="D85" s="32">
        <v>1</v>
      </c>
      <c r="E85" s="33" t="str">
        <f t="shared" si="2"/>
        <v>IHL.3028.080/1</v>
      </c>
      <c r="F85" s="31" t="s">
        <v>133</v>
      </c>
      <c r="G85" s="34" t="s">
        <v>246</v>
      </c>
      <c r="H85" s="34" t="s">
        <v>244</v>
      </c>
      <c r="I85" s="35"/>
      <c r="J85" s="44">
        <v>14</v>
      </c>
      <c r="K85" s="45">
        <v>14</v>
      </c>
      <c r="L85" s="46">
        <v>28</v>
      </c>
      <c r="M85" s="47">
        <v>7</v>
      </c>
      <c r="N85" s="48">
        <v>14</v>
      </c>
      <c r="O85" s="49">
        <v>28</v>
      </c>
      <c r="P85" s="50">
        <v>28</v>
      </c>
      <c r="Q85" s="53"/>
    </row>
    <row r="86" spans="2:17" ht="19.95" customHeight="1" x14ac:dyDescent="0.3">
      <c r="B86" s="52" t="str">
        <f>'Satınalma Takvimi Veri Girişi'!$B$1</f>
        <v>3028 - MONA</v>
      </c>
      <c r="C86" s="54" t="s">
        <v>230</v>
      </c>
      <c r="D86" s="32">
        <v>1</v>
      </c>
      <c r="E86" s="33" t="str">
        <f t="shared" si="2"/>
        <v>IHL.3028.081/1</v>
      </c>
      <c r="F86" s="31" t="s">
        <v>143</v>
      </c>
      <c r="G86" s="34" t="s">
        <v>246</v>
      </c>
      <c r="H86" s="34" t="s">
        <v>244</v>
      </c>
      <c r="I86" s="35"/>
      <c r="J86" s="44">
        <v>14</v>
      </c>
      <c r="K86" s="45">
        <v>7</v>
      </c>
      <c r="L86" s="46">
        <v>21</v>
      </c>
      <c r="M86" s="47">
        <v>7</v>
      </c>
      <c r="N86" s="48">
        <v>14</v>
      </c>
      <c r="O86" s="49">
        <v>7</v>
      </c>
      <c r="P86" s="50">
        <v>60</v>
      </c>
      <c r="Q86" s="53"/>
    </row>
    <row r="87" spans="2:17" ht="19.95" customHeight="1" x14ac:dyDescent="0.3">
      <c r="B87" s="52" t="str">
        <f>'Satınalma Takvimi Veri Girişi'!$B$1</f>
        <v>3028 - MONA</v>
      </c>
      <c r="C87" s="54" t="s">
        <v>231</v>
      </c>
      <c r="D87" s="32">
        <v>1</v>
      </c>
      <c r="E87" s="33" t="str">
        <f t="shared" si="2"/>
        <v>IHL.3028.082/1</v>
      </c>
      <c r="F87" s="31" t="s">
        <v>31</v>
      </c>
      <c r="G87" s="34" t="s">
        <v>246</v>
      </c>
      <c r="H87" s="34" t="s">
        <v>244</v>
      </c>
      <c r="I87" s="35"/>
      <c r="J87" s="44">
        <v>14</v>
      </c>
      <c r="K87" s="45">
        <v>7</v>
      </c>
      <c r="L87" s="46">
        <v>21</v>
      </c>
      <c r="M87" s="47">
        <v>7</v>
      </c>
      <c r="N87" s="48">
        <v>14</v>
      </c>
      <c r="O87" s="49">
        <v>0</v>
      </c>
      <c r="P87" s="50">
        <v>7</v>
      </c>
      <c r="Q87" s="53"/>
    </row>
    <row r="88" spans="2:17" ht="19.95" customHeight="1" x14ac:dyDescent="0.3">
      <c r="B88" s="52" t="str">
        <f>'Satınalma Takvimi Veri Girişi'!$B$1</f>
        <v>3028 - MONA</v>
      </c>
      <c r="C88" s="32" t="s">
        <v>232</v>
      </c>
      <c r="D88" s="32">
        <v>1</v>
      </c>
      <c r="E88" s="33" t="str">
        <f t="shared" si="2"/>
        <v>IHL.3028.083/1</v>
      </c>
      <c r="F88" s="31" t="s">
        <v>27</v>
      </c>
      <c r="G88" s="34" t="s">
        <v>246</v>
      </c>
      <c r="H88" s="34" t="s">
        <v>244</v>
      </c>
      <c r="I88" s="35"/>
      <c r="J88" s="44">
        <v>14</v>
      </c>
      <c r="K88" s="45">
        <v>7</v>
      </c>
      <c r="L88" s="46">
        <v>14</v>
      </c>
      <c r="M88" s="47">
        <v>7</v>
      </c>
      <c r="N88" s="48">
        <v>14</v>
      </c>
      <c r="O88" s="49">
        <v>7</v>
      </c>
      <c r="P88" s="50">
        <v>28</v>
      </c>
      <c r="Q88" s="53"/>
    </row>
    <row r="89" spans="2:17" ht="19.95" customHeight="1" x14ac:dyDescent="0.3">
      <c r="B89" s="52" t="str">
        <f>'Satınalma Takvimi Veri Girişi'!$B$1</f>
        <v>3028 - MONA</v>
      </c>
      <c r="C89" s="54" t="s">
        <v>233</v>
      </c>
      <c r="D89" s="32">
        <v>1</v>
      </c>
      <c r="E89" s="33" t="str">
        <f t="shared" si="2"/>
        <v>IHL.3028.084/1</v>
      </c>
      <c r="F89" s="31" t="s">
        <v>32</v>
      </c>
      <c r="G89" s="34" t="s">
        <v>246</v>
      </c>
      <c r="H89" s="34" t="s">
        <v>244</v>
      </c>
      <c r="I89" s="35"/>
      <c r="J89" s="44">
        <v>14</v>
      </c>
      <c r="K89" s="45">
        <v>7</v>
      </c>
      <c r="L89" s="46">
        <v>14</v>
      </c>
      <c r="M89" s="47">
        <v>7</v>
      </c>
      <c r="N89" s="48">
        <v>7</v>
      </c>
      <c r="O89" s="49">
        <v>7</v>
      </c>
      <c r="P89" s="50">
        <v>45</v>
      </c>
      <c r="Q89" s="53"/>
    </row>
    <row r="90" spans="2:17" ht="19.95" customHeight="1" x14ac:dyDescent="0.3">
      <c r="B90" s="52" t="str">
        <f>'Satınalma Takvimi Veri Girişi'!$B$1</f>
        <v>3028 - MONA</v>
      </c>
      <c r="C90" s="54" t="s">
        <v>234</v>
      </c>
      <c r="D90" s="32">
        <v>1</v>
      </c>
      <c r="E90" s="33" t="str">
        <f t="shared" si="2"/>
        <v>IHL.3028.085/1</v>
      </c>
      <c r="F90" s="31" t="s">
        <v>136</v>
      </c>
      <c r="G90" s="34" t="s">
        <v>247</v>
      </c>
      <c r="H90" s="34" t="s">
        <v>244</v>
      </c>
      <c r="I90" s="35"/>
      <c r="J90" s="44">
        <v>14</v>
      </c>
      <c r="K90" s="45">
        <v>7</v>
      </c>
      <c r="L90" s="46">
        <v>14</v>
      </c>
      <c r="M90" s="47">
        <v>7</v>
      </c>
      <c r="N90" s="48">
        <v>7</v>
      </c>
      <c r="O90" s="49">
        <v>7</v>
      </c>
      <c r="P90" s="50">
        <v>28</v>
      </c>
      <c r="Q90" s="53"/>
    </row>
    <row r="91" spans="2:17" ht="19.95" customHeight="1" x14ac:dyDescent="0.3">
      <c r="B91" s="52" t="str">
        <f>'Satınalma Takvimi Veri Girişi'!$B$1</f>
        <v>3028 - MONA</v>
      </c>
      <c r="C91" s="32" t="s">
        <v>235</v>
      </c>
      <c r="D91" s="32">
        <v>1</v>
      </c>
      <c r="E91" s="33" t="str">
        <f t="shared" si="2"/>
        <v>IHL.3028.086/1</v>
      </c>
      <c r="F91" s="31" t="s">
        <v>63</v>
      </c>
      <c r="G91" s="34" t="s">
        <v>246</v>
      </c>
      <c r="H91" s="34" t="s">
        <v>244</v>
      </c>
      <c r="I91" s="35"/>
      <c r="J91" s="44">
        <v>14</v>
      </c>
      <c r="K91" s="45">
        <v>7</v>
      </c>
      <c r="L91" s="46">
        <v>21</v>
      </c>
      <c r="M91" s="47">
        <v>7</v>
      </c>
      <c r="N91" s="48">
        <v>14</v>
      </c>
      <c r="O91" s="49">
        <v>7</v>
      </c>
      <c r="P91" s="50">
        <v>90</v>
      </c>
      <c r="Q91" s="53"/>
    </row>
    <row r="92" spans="2:17" ht="19.95" customHeight="1" x14ac:dyDescent="0.3">
      <c r="B92" s="52" t="str">
        <f>'Satınalma Takvimi Veri Girişi'!$B$1</f>
        <v>3028 - MONA</v>
      </c>
      <c r="C92" s="54" t="s">
        <v>236</v>
      </c>
      <c r="D92" s="32">
        <v>1</v>
      </c>
      <c r="E92" s="33" t="str">
        <f t="shared" si="2"/>
        <v>IHL.3028.087/1</v>
      </c>
      <c r="F92" s="31" t="s">
        <v>254</v>
      </c>
      <c r="G92" s="34" t="s">
        <v>246</v>
      </c>
      <c r="H92" s="34" t="s">
        <v>244</v>
      </c>
      <c r="I92" s="35"/>
      <c r="J92" s="44">
        <v>14</v>
      </c>
      <c r="K92" s="45">
        <v>7</v>
      </c>
      <c r="L92" s="46">
        <v>21</v>
      </c>
      <c r="M92" s="47">
        <v>7</v>
      </c>
      <c r="N92" s="48">
        <v>14</v>
      </c>
      <c r="O92" s="49">
        <v>7</v>
      </c>
      <c r="P92" s="50">
        <v>90</v>
      </c>
      <c r="Q92" s="53"/>
    </row>
    <row r="93" spans="2:17" ht="19.95" customHeight="1" x14ac:dyDescent="0.3">
      <c r="B93" s="52" t="str">
        <f>'Satınalma Takvimi Veri Girişi'!$B$1</f>
        <v>3028 - MONA</v>
      </c>
      <c r="C93" s="54" t="s">
        <v>237</v>
      </c>
      <c r="D93" s="32">
        <v>1</v>
      </c>
      <c r="E93" s="33" t="str">
        <f t="shared" si="2"/>
        <v>IHL.3028.088/1</v>
      </c>
      <c r="F93" s="31" t="s">
        <v>123</v>
      </c>
      <c r="G93" s="34" t="s">
        <v>246</v>
      </c>
      <c r="H93" s="34" t="s">
        <v>244</v>
      </c>
      <c r="I93" s="35"/>
      <c r="J93" s="44">
        <v>14</v>
      </c>
      <c r="K93" s="45">
        <v>14</v>
      </c>
      <c r="L93" s="46">
        <v>21</v>
      </c>
      <c r="M93" s="47">
        <v>7</v>
      </c>
      <c r="N93" s="48">
        <v>7</v>
      </c>
      <c r="O93" s="49">
        <v>14</v>
      </c>
      <c r="P93" s="50">
        <v>60</v>
      </c>
      <c r="Q93" s="53"/>
    </row>
    <row r="94" spans="2:17" ht="19.95" customHeight="1" x14ac:dyDescent="0.3">
      <c r="B94" s="52" t="str">
        <f>'Satınalma Takvimi Veri Girişi'!$B$1</f>
        <v>3028 - MONA</v>
      </c>
      <c r="C94" s="32" t="s">
        <v>261</v>
      </c>
      <c r="D94" s="32">
        <v>1</v>
      </c>
      <c r="E94" s="33" t="str">
        <f t="shared" si="2"/>
        <v>IHL.3028.089/1</v>
      </c>
      <c r="F94" s="31" t="s">
        <v>122</v>
      </c>
      <c r="G94" s="34" t="s">
        <v>246</v>
      </c>
      <c r="H94" s="34" t="s">
        <v>244</v>
      </c>
      <c r="I94" s="35"/>
      <c r="J94" s="44">
        <v>14</v>
      </c>
      <c r="K94" s="45">
        <v>14</v>
      </c>
      <c r="L94" s="46">
        <v>21</v>
      </c>
      <c r="M94" s="47">
        <v>7</v>
      </c>
      <c r="N94" s="48">
        <v>7</v>
      </c>
      <c r="O94" s="49">
        <v>14</v>
      </c>
      <c r="P94" s="50">
        <v>60</v>
      </c>
      <c r="Q94" s="53"/>
    </row>
    <row r="95" spans="2:17" ht="19.95" customHeight="1" x14ac:dyDescent="0.3">
      <c r="B95" s="52" t="str">
        <f>'Satınalma Takvimi Veri Girişi'!$B$1</f>
        <v>3028 - MONA</v>
      </c>
      <c r="C95" s="54" t="s">
        <v>262</v>
      </c>
      <c r="D95" s="32">
        <v>1</v>
      </c>
      <c r="E95" s="33" t="str">
        <f t="shared" si="2"/>
        <v>IHL.3028.090/1</v>
      </c>
      <c r="F95" s="31" t="s">
        <v>119</v>
      </c>
      <c r="G95" s="34" t="s">
        <v>246</v>
      </c>
      <c r="H95" s="34" t="s">
        <v>244</v>
      </c>
      <c r="I95" s="35"/>
      <c r="J95" s="44">
        <v>14</v>
      </c>
      <c r="K95" s="45">
        <v>14</v>
      </c>
      <c r="L95" s="46">
        <v>28</v>
      </c>
      <c r="M95" s="47">
        <v>7</v>
      </c>
      <c r="N95" s="48">
        <v>14</v>
      </c>
      <c r="O95" s="49">
        <v>7</v>
      </c>
      <c r="P95" s="50">
        <v>60</v>
      </c>
      <c r="Q95" s="53"/>
    </row>
    <row r="96" spans="2:17" ht="19.95" customHeight="1" x14ac:dyDescent="0.3">
      <c r="B96" s="52" t="str">
        <f>'Satınalma Takvimi Veri Girişi'!$B$1</f>
        <v>3028 - MONA</v>
      </c>
      <c r="C96" s="54" t="s">
        <v>263</v>
      </c>
      <c r="D96" s="32">
        <v>1</v>
      </c>
      <c r="E96" s="33" t="str">
        <f t="shared" si="2"/>
        <v>IHL.3028.091/1</v>
      </c>
      <c r="F96" s="31" t="s">
        <v>103</v>
      </c>
      <c r="G96" s="34" t="s">
        <v>246</v>
      </c>
      <c r="H96" s="34" t="s">
        <v>244</v>
      </c>
      <c r="I96" s="35"/>
      <c r="J96" s="44">
        <v>14</v>
      </c>
      <c r="K96" s="45">
        <v>7</v>
      </c>
      <c r="L96" s="46">
        <v>7</v>
      </c>
      <c r="M96" s="47">
        <v>7</v>
      </c>
      <c r="N96" s="48">
        <v>7</v>
      </c>
      <c r="O96" s="49">
        <v>0</v>
      </c>
      <c r="P96" s="50">
        <v>7</v>
      </c>
      <c r="Q96" s="53"/>
    </row>
    <row r="97" spans="2:17" ht="19.95" customHeight="1" x14ac:dyDescent="0.3">
      <c r="B97" s="52" t="str">
        <f>'Satınalma Takvimi Veri Girişi'!$B$1</f>
        <v>3028 - MONA</v>
      </c>
      <c r="C97" s="32" t="s">
        <v>264</v>
      </c>
      <c r="D97" s="32">
        <v>1</v>
      </c>
      <c r="E97" s="33" t="str">
        <f t="shared" si="2"/>
        <v>IHL.3028.092/1</v>
      </c>
      <c r="F97" s="31" t="s">
        <v>29</v>
      </c>
      <c r="G97" s="34" t="s">
        <v>246</v>
      </c>
      <c r="H97" s="34" t="s">
        <v>244</v>
      </c>
      <c r="I97" s="35"/>
      <c r="J97" s="44">
        <v>14</v>
      </c>
      <c r="K97" s="45">
        <v>7</v>
      </c>
      <c r="L97" s="46">
        <v>7</v>
      </c>
      <c r="M97" s="47">
        <v>7</v>
      </c>
      <c r="N97" s="48">
        <v>7</v>
      </c>
      <c r="O97" s="49">
        <v>0</v>
      </c>
      <c r="P97" s="50">
        <v>7</v>
      </c>
      <c r="Q97" s="53"/>
    </row>
    <row r="98" spans="2:17" ht="19.95" customHeight="1" x14ac:dyDescent="0.3">
      <c r="B98" s="52" t="str">
        <f>'Satınalma Takvimi Veri Girişi'!$B$1</f>
        <v>3028 - MONA</v>
      </c>
      <c r="C98" s="54" t="s">
        <v>265</v>
      </c>
      <c r="D98" s="32">
        <v>1</v>
      </c>
      <c r="E98" s="33" t="str">
        <f t="shared" si="2"/>
        <v>IHL.3028.093/1</v>
      </c>
      <c r="F98" s="31" t="s">
        <v>104</v>
      </c>
      <c r="G98" s="34" t="s">
        <v>246</v>
      </c>
      <c r="H98" s="34" t="s">
        <v>244</v>
      </c>
      <c r="I98" s="35"/>
      <c r="J98" s="44">
        <v>14</v>
      </c>
      <c r="K98" s="45">
        <v>7</v>
      </c>
      <c r="L98" s="46">
        <v>14</v>
      </c>
      <c r="M98" s="47">
        <v>7</v>
      </c>
      <c r="N98" s="48">
        <v>7</v>
      </c>
      <c r="O98" s="49">
        <v>7</v>
      </c>
      <c r="P98" s="50">
        <v>14</v>
      </c>
      <c r="Q98" s="53"/>
    </row>
    <row r="99" spans="2:17" ht="19.95" customHeight="1" x14ac:dyDescent="0.3">
      <c r="B99" s="52" t="str">
        <f>'Satınalma Takvimi Veri Girişi'!$B$1</f>
        <v>3028 - MONA</v>
      </c>
      <c r="C99" s="54" t="s">
        <v>266</v>
      </c>
      <c r="D99" s="32">
        <v>1</v>
      </c>
      <c r="E99" s="33" t="str">
        <f t="shared" si="2"/>
        <v>IHL.3028.094/1</v>
      </c>
      <c r="F99" s="31" t="s">
        <v>30</v>
      </c>
      <c r="G99" s="34" t="s">
        <v>246</v>
      </c>
      <c r="H99" s="34" t="s">
        <v>244</v>
      </c>
      <c r="I99" s="35"/>
      <c r="J99" s="44">
        <v>14</v>
      </c>
      <c r="K99" s="45">
        <v>7</v>
      </c>
      <c r="L99" s="46">
        <v>14</v>
      </c>
      <c r="M99" s="47">
        <v>7</v>
      </c>
      <c r="N99" s="48">
        <v>7</v>
      </c>
      <c r="O99" s="49">
        <v>0</v>
      </c>
      <c r="P99" s="50">
        <v>7</v>
      </c>
      <c r="Q99" s="53"/>
    </row>
    <row r="100" spans="2:17" ht="19.95" customHeight="1" x14ac:dyDescent="0.3">
      <c r="B100" s="52" t="str">
        <f>'Satınalma Takvimi Veri Girişi'!$B$1</f>
        <v>3028 - MONA</v>
      </c>
      <c r="C100" s="32" t="s">
        <v>267</v>
      </c>
      <c r="D100" s="32">
        <v>1</v>
      </c>
      <c r="E100" s="33" t="str">
        <f t="shared" si="2"/>
        <v>IHL.3028.095/1</v>
      </c>
      <c r="F100" s="31" t="s">
        <v>130</v>
      </c>
      <c r="G100" s="34" t="s">
        <v>246</v>
      </c>
      <c r="H100" s="34" t="s">
        <v>244</v>
      </c>
      <c r="I100" s="35"/>
      <c r="J100" s="44">
        <v>14</v>
      </c>
      <c r="K100" s="45">
        <v>7</v>
      </c>
      <c r="L100" s="46">
        <v>14</v>
      </c>
      <c r="M100" s="47">
        <v>7</v>
      </c>
      <c r="N100" s="48">
        <v>7</v>
      </c>
      <c r="O100" s="49">
        <v>7</v>
      </c>
      <c r="P100" s="50">
        <v>28</v>
      </c>
      <c r="Q100" s="53"/>
    </row>
    <row r="101" spans="2:17" ht="19.95" customHeight="1" x14ac:dyDescent="0.3">
      <c r="B101" s="52" t="str">
        <f>'Satınalma Takvimi Veri Girişi'!$B$1</f>
        <v>3028 - MONA</v>
      </c>
      <c r="C101" s="54" t="s">
        <v>268</v>
      </c>
      <c r="D101" s="32">
        <v>1</v>
      </c>
      <c r="E101" s="33" t="str">
        <f t="shared" si="2"/>
        <v>IHL.3028.096/1</v>
      </c>
      <c r="F101" s="31" t="s">
        <v>129</v>
      </c>
      <c r="G101" s="34" t="s">
        <v>246</v>
      </c>
      <c r="H101" s="34" t="s">
        <v>244</v>
      </c>
      <c r="I101" s="35"/>
      <c r="J101" s="44">
        <v>14</v>
      </c>
      <c r="K101" s="45">
        <v>7</v>
      </c>
      <c r="L101" s="46">
        <v>14</v>
      </c>
      <c r="M101" s="47">
        <v>7</v>
      </c>
      <c r="N101" s="48">
        <v>7</v>
      </c>
      <c r="O101" s="49">
        <v>0</v>
      </c>
      <c r="P101" s="50">
        <v>7</v>
      </c>
      <c r="Q101" s="53"/>
    </row>
    <row r="102" spans="2:17" ht="19.95" customHeight="1" x14ac:dyDescent="0.3">
      <c r="B102" s="52" t="str">
        <f>'Satınalma Takvimi Veri Girişi'!$B$1</f>
        <v>3028 - MONA</v>
      </c>
      <c r="C102" s="54" t="s">
        <v>269</v>
      </c>
      <c r="D102" s="32">
        <v>1</v>
      </c>
      <c r="E102" s="33" t="str">
        <f t="shared" si="2"/>
        <v>IHL.3028.097/1</v>
      </c>
      <c r="F102" s="31" t="s">
        <v>105</v>
      </c>
      <c r="G102" s="34" t="s">
        <v>246</v>
      </c>
      <c r="H102" s="34" t="s">
        <v>244</v>
      </c>
      <c r="I102" s="35"/>
      <c r="J102" s="44">
        <v>14</v>
      </c>
      <c r="K102" s="45">
        <v>7</v>
      </c>
      <c r="L102" s="46">
        <v>14</v>
      </c>
      <c r="M102" s="47">
        <v>7</v>
      </c>
      <c r="N102" s="48">
        <v>7</v>
      </c>
      <c r="O102" s="49">
        <v>0</v>
      </c>
      <c r="P102" s="50">
        <v>28</v>
      </c>
      <c r="Q102" s="53"/>
    </row>
    <row r="103" spans="2:17" ht="19.95" customHeight="1" x14ac:dyDescent="0.3">
      <c r="B103" s="52" t="str">
        <f>'Satınalma Takvimi Veri Girişi'!$B$1</f>
        <v>3028 - MONA</v>
      </c>
      <c r="C103" s="32" t="s">
        <v>270</v>
      </c>
      <c r="D103" s="32">
        <v>1</v>
      </c>
      <c r="E103" s="33" t="str">
        <f t="shared" si="2"/>
        <v>IHL.3028.098/1</v>
      </c>
      <c r="F103" s="31" t="s">
        <v>70</v>
      </c>
      <c r="G103" s="34" t="s">
        <v>246</v>
      </c>
      <c r="H103" s="34" t="s">
        <v>244</v>
      </c>
      <c r="I103" s="35"/>
      <c r="J103" s="44">
        <v>14</v>
      </c>
      <c r="K103" s="45">
        <v>7</v>
      </c>
      <c r="L103" s="46">
        <v>14</v>
      </c>
      <c r="M103" s="47">
        <v>7</v>
      </c>
      <c r="N103" s="48">
        <v>7</v>
      </c>
      <c r="O103" s="49">
        <v>0</v>
      </c>
      <c r="P103" s="50">
        <v>7</v>
      </c>
      <c r="Q103" s="53"/>
    </row>
    <row r="104" spans="2:17" ht="19.95" customHeight="1" x14ac:dyDescent="0.3">
      <c r="B104" s="52" t="str">
        <f>'Satınalma Takvimi Veri Girişi'!$B$1</f>
        <v>3028 - MONA</v>
      </c>
      <c r="C104" s="54" t="s">
        <v>271</v>
      </c>
      <c r="D104" s="32">
        <v>1</v>
      </c>
      <c r="E104" s="33" t="str">
        <f t="shared" si="2"/>
        <v>IHL.3028.099/1</v>
      </c>
      <c r="F104" s="31" t="s">
        <v>141</v>
      </c>
      <c r="G104" s="34" t="s">
        <v>245</v>
      </c>
      <c r="H104" s="34" t="s">
        <v>244</v>
      </c>
      <c r="I104" s="35"/>
      <c r="J104" s="36">
        <v>21</v>
      </c>
      <c r="K104" s="45">
        <v>14</v>
      </c>
      <c r="L104" s="46">
        <v>45</v>
      </c>
      <c r="M104" s="47">
        <v>10</v>
      </c>
      <c r="N104" s="48">
        <v>14</v>
      </c>
      <c r="O104" s="49">
        <v>14</v>
      </c>
      <c r="P104" s="50">
        <v>7</v>
      </c>
      <c r="Q104" s="53"/>
    </row>
    <row r="105" spans="2:17" ht="19.95" customHeight="1" x14ac:dyDescent="0.3">
      <c r="B105" s="52" t="str">
        <f>'Satınalma Takvimi Veri Girişi'!$B$1</f>
        <v>3028 - MONA</v>
      </c>
      <c r="C105" s="54" t="s">
        <v>272</v>
      </c>
      <c r="D105" s="32">
        <v>1</v>
      </c>
      <c r="E105" s="33" t="str">
        <f t="shared" si="2"/>
        <v>IHL.3028.100/1</v>
      </c>
      <c r="F105" s="31" t="s">
        <v>121</v>
      </c>
      <c r="G105" s="34" t="s">
        <v>246</v>
      </c>
      <c r="H105" s="34" t="s">
        <v>244</v>
      </c>
      <c r="I105" s="35"/>
      <c r="J105" s="44">
        <v>14</v>
      </c>
      <c r="K105" s="45">
        <v>7</v>
      </c>
      <c r="L105" s="46">
        <v>7</v>
      </c>
      <c r="M105" s="47">
        <v>7</v>
      </c>
      <c r="N105" s="48">
        <v>7</v>
      </c>
      <c r="O105" s="49">
        <v>7</v>
      </c>
      <c r="P105" s="50">
        <v>7</v>
      </c>
      <c r="Q105" s="53"/>
    </row>
    <row r="106" spans="2:17" ht="19.95" customHeight="1" x14ac:dyDescent="0.3">
      <c r="B106" s="52" t="str">
        <f>'Satınalma Takvimi Veri Girişi'!$B$1</f>
        <v>3028 - MONA</v>
      </c>
      <c r="C106" s="32" t="s">
        <v>273</v>
      </c>
      <c r="D106" s="32">
        <v>1</v>
      </c>
      <c r="E106" s="33" t="str">
        <f t="shared" si="2"/>
        <v>IHL.3028.101/1</v>
      </c>
      <c r="F106" s="31" t="s">
        <v>55</v>
      </c>
      <c r="G106" s="34" t="s">
        <v>246</v>
      </c>
      <c r="H106" s="34" t="s">
        <v>244</v>
      </c>
      <c r="I106" s="35"/>
      <c r="J106" s="44">
        <v>14</v>
      </c>
      <c r="K106" s="45">
        <v>7</v>
      </c>
      <c r="L106" s="46">
        <v>14</v>
      </c>
      <c r="M106" s="47">
        <v>7</v>
      </c>
      <c r="N106" s="48">
        <v>7</v>
      </c>
      <c r="O106" s="49">
        <v>7</v>
      </c>
      <c r="P106" s="50">
        <v>14</v>
      </c>
      <c r="Q106" s="53"/>
    </row>
    <row r="107" spans="2:17" ht="19.95" customHeight="1" x14ac:dyDescent="0.3">
      <c r="B107" s="52" t="str">
        <f>'Satınalma Takvimi Veri Girişi'!$B$1</f>
        <v>3028 - MONA</v>
      </c>
      <c r="C107" s="54" t="s">
        <v>274</v>
      </c>
      <c r="D107" s="32">
        <v>1</v>
      </c>
      <c r="E107" s="33" t="str">
        <f t="shared" si="2"/>
        <v>IHL.3028.102/1</v>
      </c>
      <c r="F107" s="31" t="s">
        <v>118</v>
      </c>
      <c r="G107" s="34" t="s">
        <v>247</v>
      </c>
      <c r="H107" s="34" t="s">
        <v>244</v>
      </c>
      <c r="I107" s="35"/>
      <c r="J107" s="44">
        <v>14</v>
      </c>
      <c r="K107" s="45">
        <v>7</v>
      </c>
      <c r="L107" s="46">
        <v>14</v>
      </c>
      <c r="M107" s="47">
        <v>7</v>
      </c>
      <c r="N107" s="48">
        <v>7</v>
      </c>
      <c r="O107" s="49">
        <v>7</v>
      </c>
      <c r="P107" s="50">
        <v>21</v>
      </c>
      <c r="Q107" s="53"/>
    </row>
    <row r="108" spans="2:17" ht="19.95" customHeight="1" x14ac:dyDescent="0.3">
      <c r="B108" s="52" t="str">
        <f>'Satınalma Takvimi Veri Girişi'!$B$1</f>
        <v>3028 - MONA</v>
      </c>
      <c r="C108" s="54" t="s">
        <v>275</v>
      </c>
      <c r="D108" s="32">
        <v>1</v>
      </c>
      <c r="E108" s="33" t="str">
        <f t="shared" si="2"/>
        <v>IHL.3028.103/1</v>
      </c>
      <c r="F108" s="31" t="s">
        <v>116</v>
      </c>
      <c r="G108" s="34" t="s">
        <v>246</v>
      </c>
      <c r="H108" s="34" t="s">
        <v>244</v>
      </c>
      <c r="I108" s="35"/>
      <c r="J108" s="44">
        <v>14</v>
      </c>
      <c r="K108" s="45">
        <v>7</v>
      </c>
      <c r="L108" s="46">
        <v>21</v>
      </c>
      <c r="M108" s="47">
        <v>7</v>
      </c>
      <c r="N108" s="48">
        <v>7</v>
      </c>
      <c r="O108" s="49">
        <v>7</v>
      </c>
      <c r="P108" s="50">
        <v>45</v>
      </c>
      <c r="Q108" s="53"/>
    </row>
    <row r="109" spans="2:17" ht="19.95" customHeight="1" x14ac:dyDescent="0.3">
      <c r="B109" s="52" t="str">
        <f>'Satınalma Takvimi Veri Girişi'!$B$1</f>
        <v>3028 - MONA</v>
      </c>
      <c r="C109" s="32" t="s">
        <v>276</v>
      </c>
      <c r="D109" s="32">
        <v>1</v>
      </c>
      <c r="E109" s="33" t="str">
        <f t="shared" si="2"/>
        <v>IHL.3028.104/1</v>
      </c>
      <c r="F109" s="31" t="s">
        <v>134</v>
      </c>
      <c r="G109" s="34" t="s">
        <v>246</v>
      </c>
      <c r="H109" s="34" t="s">
        <v>244</v>
      </c>
      <c r="I109" s="35"/>
      <c r="J109" s="44">
        <v>14</v>
      </c>
      <c r="K109" s="45">
        <v>7</v>
      </c>
      <c r="L109" s="46">
        <v>28</v>
      </c>
      <c r="M109" s="47">
        <v>7</v>
      </c>
      <c r="N109" s="48">
        <v>14</v>
      </c>
      <c r="O109" s="49">
        <v>7</v>
      </c>
      <c r="P109" s="50">
        <v>45</v>
      </c>
      <c r="Q109" s="53"/>
    </row>
    <row r="110" spans="2:17" ht="19.95" customHeight="1" x14ac:dyDescent="0.3">
      <c r="B110" s="52" t="str">
        <f>'Satınalma Takvimi Veri Girişi'!$B$1</f>
        <v>3028 - MONA</v>
      </c>
      <c r="C110" s="54" t="s">
        <v>277</v>
      </c>
      <c r="D110" s="32">
        <v>1</v>
      </c>
      <c r="E110" s="33" t="str">
        <f t="shared" si="2"/>
        <v>IHL.3028.105/1</v>
      </c>
      <c r="F110" s="31" t="s">
        <v>117</v>
      </c>
      <c r="G110" s="34" t="s">
        <v>247</v>
      </c>
      <c r="H110" s="34" t="s">
        <v>244</v>
      </c>
      <c r="I110" s="35"/>
      <c r="J110" s="44">
        <v>14</v>
      </c>
      <c r="K110" s="45">
        <v>7</v>
      </c>
      <c r="L110" s="46">
        <v>14</v>
      </c>
      <c r="M110" s="47">
        <v>7</v>
      </c>
      <c r="N110" s="48">
        <v>7</v>
      </c>
      <c r="O110" s="49">
        <v>7</v>
      </c>
      <c r="P110" s="50">
        <v>28</v>
      </c>
      <c r="Q110" s="53"/>
    </row>
    <row r="111" spans="2:17" ht="19.95" customHeight="1" x14ac:dyDescent="0.3">
      <c r="B111" s="52" t="str">
        <f>'Satınalma Takvimi Veri Girişi'!$B$1</f>
        <v>3028 - MONA</v>
      </c>
      <c r="C111" s="54" t="s">
        <v>278</v>
      </c>
      <c r="D111" s="32">
        <v>1</v>
      </c>
      <c r="E111" s="33" t="str">
        <f t="shared" si="2"/>
        <v>IHL.3028.106/1</v>
      </c>
      <c r="F111" s="31" t="s">
        <v>28</v>
      </c>
      <c r="G111" s="34" t="s">
        <v>246</v>
      </c>
      <c r="H111" s="34" t="s">
        <v>244</v>
      </c>
      <c r="I111" s="35"/>
      <c r="J111" s="44">
        <v>14</v>
      </c>
      <c r="K111" s="45">
        <v>7</v>
      </c>
      <c r="L111" s="46">
        <v>14</v>
      </c>
      <c r="M111" s="47">
        <v>7</v>
      </c>
      <c r="N111" s="48">
        <v>7</v>
      </c>
      <c r="O111" s="49">
        <v>0</v>
      </c>
      <c r="P111" s="50">
        <v>7</v>
      </c>
      <c r="Q111" s="53"/>
    </row>
    <row r="112" spans="2:17" ht="19.95" customHeight="1" x14ac:dyDescent="0.3">
      <c r="B112" s="52" t="str">
        <f>'Satınalma Takvimi Veri Girişi'!$B$1</f>
        <v>3028 - MONA</v>
      </c>
      <c r="C112" s="32" t="s">
        <v>279</v>
      </c>
      <c r="D112" s="32">
        <v>1</v>
      </c>
      <c r="E112" s="33" t="str">
        <f t="shared" si="2"/>
        <v>IHL.3028.107/1</v>
      </c>
      <c r="F112" s="31" t="s">
        <v>52</v>
      </c>
      <c r="G112" s="34" t="s">
        <v>246</v>
      </c>
      <c r="H112" s="34" t="s">
        <v>244</v>
      </c>
      <c r="I112" s="35"/>
      <c r="J112" s="44">
        <v>14</v>
      </c>
      <c r="K112" s="45">
        <v>7</v>
      </c>
      <c r="L112" s="46">
        <v>14</v>
      </c>
      <c r="M112" s="47">
        <v>7</v>
      </c>
      <c r="N112" s="48">
        <v>7</v>
      </c>
      <c r="O112" s="49">
        <v>14</v>
      </c>
      <c r="P112" s="50">
        <v>14</v>
      </c>
      <c r="Q112" s="53"/>
    </row>
    <row r="113" spans="2:17" ht="19.95" customHeight="1" x14ac:dyDescent="0.3">
      <c r="B113" s="52" t="str">
        <f>'Satınalma Takvimi Veri Girişi'!$B$1</f>
        <v>3028 - MONA</v>
      </c>
      <c r="C113" s="54" t="s">
        <v>280</v>
      </c>
      <c r="D113" s="32">
        <v>1</v>
      </c>
      <c r="E113" s="33" t="str">
        <f t="shared" si="2"/>
        <v>IHL.3028.108/1</v>
      </c>
      <c r="F113" s="31" t="s">
        <v>124</v>
      </c>
      <c r="G113" s="34" t="s">
        <v>247</v>
      </c>
      <c r="H113" s="34" t="s">
        <v>244</v>
      </c>
      <c r="I113" s="35"/>
      <c r="J113" s="44">
        <v>14</v>
      </c>
      <c r="K113" s="45">
        <v>7</v>
      </c>
      <c r="L113" s="46">
        <v>21</v>
      </c>
      <c r="M113" s="47">
        <v>7</v>
      </c>
      <c r="N113" s="48">
        <v>14</v>
      </c>
      <c r="O113" s="49">
        <v>14</v>
      </c>
      <c r="P113" s="50">
        <v>28</v>
      </c>
      <c r="Q113" s="53"/>
    </row>
    <row r="114" spans="2:17" ht="19.95" customHeight="1" x14ac:dyDescent="0.3">
      <c r="B114" s="52" t="str">
        <f>'Satınalma Takvimi Veri Girişi'!$B$1</f>
        <v>3028 - MONA</v>
      </c>
      <c r="C114" s="54" t="s">
        <v>281</v>
      </c>
      <c r="D114" s="32">
        <v>1</v>
      </c>
      <c r="E114" s="33" t="str">
        <f t="shared" si="2"/>
        <v>IHL.3028.109/1</v>
      </c>
      <c r="F114" s="31" t="s">
        <v>120</v>
      </c>
      <c r="G114" s="34" t="s">
        <v>247</v>
      </c>
      <c r="H114" s="34" t="s">
        <v>244</v>
      </c>
      <c r="I114" s="35"/>
      <c r="J114" s="36">
        <v>14</v>
      </c>
      <c r="K114" s="37">
        <v>7</v>
      </c>
      <c r="L114" s="38">
        <v>14</v>
      </c>
      <c r="M114" s="39">
        <v>7</v>
      </c>
      <c r="N114" s="40">
        <v>14</v>
      </c>
      <c r="O114" s="41">
        <v>7</v>
      </c>
      <c r="P114" s="42">
        <v>21</v>
      </c>
      <c r="Q114" s="53"/>
    </row>
    <row r="115" spans="2:17" ht="19.95" customHeight="1" x14ac:dyDescent="0.3">
      <c r="B115" s="52" t="str">
        <f>'Satınalma Takvimi Veri Girişi'!$B$1</f>
        <v>3028 - MONA</v>
      </c>
      <c r="C115" s="32" t="s">
        <v>282</v>
      </c>
      <c r="D115" s="32">
        <v>1</v>
      </c>
      <c r="E115" s="33" t="str">
        <f t="shared" si="2"/>
        <v>IHL.3028.110/1</v>
      </c>
      <c r="F115" s="31" t="s">
        <v>68</v>
      </c>
      <c r="G115" s="34" t="s">
        <v>247</v>
      </c>
      <c r="H115" s="34" t="s">
        <v>244</v>
      </c>
      <c r="I115" s="35"/>
      <c r="J115" s="36">
        <v>14</v>
      </c>
      <c r="K115" s="37">
        <v>7</v>
      </c>
      <c r="L115" s="38">
        <v>14</v>
      </c>
      <c r="M115" s="39">
        <v>7</v>
      </c>
      <c r="N115" s="40">
        <v>7</v>
      </c>
      <c r="O115" s="41">
        <v>7</v>
      </c>
      <c r="P115" s="42">
        <v>21</v>
      </c>
      <c r="Q115" s="53"/>
    </row>
    <row r="116" spans="2:17" ht="19.95" customHeight="1" x14ac:dyDescent="0.3">
      <c r="B116" s="52" t="str">
        <f>'Satınalma Takvimi Veri Girişi'!$B$1</f>
        <v>3028 - MONA</v>
      </c>
      <c r="C116" s="54" t="s">
        <v>283</v>
      </c>
      <c r="D116" s="32">
        <v>1</v>
      </c>
      <c r="E116" s="33" t="str">
        <f t="shared" si="2"/>
        <v>IHL.3028.111/1</v>
      </c>
      <c r="F116" s="31" t="s">
        <v>57</v>
      </c>
      <c r="G116" s="34" t="s">
        <v>247</v>
      </c>
      <c r="H116" s="34" t="s">
        <v>244</v>
      </c>
      <c r="I116" s="35"/>
      <c r="J116" s="36">
        <v>14</v>
      </c>
      <c r="K116" s="37">
        <v>7</v>
      </c>
      <c r="L116" s="38">
        <v>14</v>
      </c>
      <c r="M116" s="39">
        <v>7</v>
      </c>
      <c r="N116" s="40">
        <v>7</v>
      </c>
      <c r="O116" s="41">
        <v>0</v>
      </c>
      <c r="P116" s="42">
        <v>7</v>
      </c>
      <c r="Q116" s="53"/>
    </row>
    <row r="117" spans="2:17" ht="19.95" customHeight="1" x14ac:dyDescent="0.3">
      <c r="B117" s="52" t="str">
        <f>'Satınalma Takvimi Veri Girişi'!$B$1</f>
        <v>3028 - MONA</v>
      </c>
      <c r="C117" s="54" t="s">
        <v>284</v>
      </c>
      <c r="D117" s="32">
        <v>1</v>
      </c>
      <c r="E117" s="33" t="str">
        <f t="shared" si="2"/>
        <v>IHL.3028.112/1</v>
      </c>
      <c r="F117" s="31" t="s">
        <v>56</v>
      </c>
      <c r="G117" s="34" t="s">
        <v>246</v>
      </c>
      <c r="H117" s="34" t="s">
        <v>244</v>
      </c>
      <c r="I117" s="35">
        <v>0</v>
      </c>
      <c r="J117" s="36">
        <v>14</v>
      </c>
      <c r="K117" s="37">
        <v>7</v>
      </c>
      <c r="L117" s="38">
        <v>14</v>
      </c>
      <c r="M117" s="39">
        <v>7</v>
      </c>
      <c r="N117" s="40">
        <v>7</v>
      </c>
      <c r="O117" s="41">
        <v>0</v>
      </c>
      <c r="P117" s="42">
        <v>7</v>
      </c>
      <c r="Q117" s="53"/>
    </row>
    <row r="118" spans="2:17" ht="19.95" customHeight="1" x14ac:dyDescent="0.3">
      <c r="B118" s="52" t="str">
        <f>'Satınalma Takvimi Veri Girişi'!$B$1</f>
        <v>3028 - MONA</v>
      </c>
      <c r="C118" s="32" t="s">
        <v>285</v>
      </c>
      <c r="D118" s="32">
        <v>1</v>
      </c>
      <c r="E118" s="33" t="str">
        <f t="shared" ref="E118" si="3">CONCATENATE("IHL.",LEFT(B118,4),".",C118,"/",D118)</f>
        <v>IHL.3028.113/1</v>
      </c>
      <c r="F118" s="31" t="s">
        <v>69</v>
      </c>
      <c r="G118" s="34" t="s">
        <v>246</v>
      </c>
      <c r="H118" s="34" t="s">
        <v>244</v>
      </c>
      <c r="I118" s="35"/>
      <c r="J118" s="36">
        <v>14</v>
      </c>
      <c r="K118" s="37">
        <v>7</v>
      </c>
      <c r="L118" s="38">
        <v>14</v>
      </c>
      <c r="M118" s="39">
        <v>7</v>
      </c>
      <c r="N118" s="40">
        <v>7</v>
      </c>
      <c r="O118" s="41">
        <v>0</v>
      </c>
      <c r="P118" s="42">
        <v>14</v>
      </c>
      <c r="Q118" s="53"/>
    </row>
    <row r="119" spans="2:17" ht="19.95" customHeight="1" x14ac:dyDescent="0.3">
      <c r="B119" s="52" t="str">
        <f>'Satınalma Takvimi Veri Girişi'!$B$1</f>
        <v>3028 - MONA</v>
      </c>
      <c r="C119" s="54" t="s">
        <v>286</v>
      </c>
      <c r="D119" s="32">
        <v>1</v>
      </c>
      <c r="E119" s="33" t="str">
        <f t="shared" ref="E119:E145" si="4">CONCATENATE("IHL.",LEFT(B119,4),".",C119,"/",D119)</f>
        <v>IHL.3028.114/1</v>
      </c>
      <c r="F119" s="31" t="s">
        <v>71</v>
      </c>
      <c r="G119" s="34" t="s">
        <v>245</v>
      </c>
      <c r="H119" s="34" t="s">
        <v>315</v>
      </c>
      <c r="I119" s="35"/>
      <c r="J119" s="36">
        <v>21</v>
      </c>
      <c r="K119" s="37">
        <v>28</v>
      </c>
      <c r="L119" s="38">
        <v>21</v>
      </c>
      <c r="M119" s="39">
        <v>14</v>
      </c>
      <c r="N119" s="40">
        <v>14</v>
      </c>
      <c r="O119" s="41">
        <v>0</v>
      </c>
      <c r="P119" s="42">
        <v>14</v>
      </c>
      <c r="Q119" s="53"/>
    </row>
    <row r="120" spans="2:17" ht="19.95" customHeight="1" x14ac:dyDescent="0.3">
      <c r="B120" s="52" t="str">
        <f>'Satınalma Takvimi Veri Girişi'!$B$1</f>
        <v>3028 - MONA</v>
      </c>
      <c r="C120" s="54" t="s">
        <v>287</v>
      </c>
      <c r="D120" s="32">
        <v>1</v>
      </c>
      <c r="E120" s="33" t="str">
        <f t="shared" si="4"/>
        <v>IHL.3028.115/1</v>
      </c>
      <c r="F120" s="31" t="s">
        <v>291</v>
      </c>
      <c r="G120" s="34" t="s">
        <v>246</v>
      </c>
      <c r="H120" s="34" t="s">
        <v>315</v>
      </c>
      <c r="I120" s="35"/>
      <c r="J120" s="36">
        <v>14</v>
      </c>
      <c r="K120" s="37">
        <v>7</v>
      </c>
      <c r="L120" s="38">
        <v>14</v>
      </c>
      <c r="M120" s="39">
        <v>7</v>
      </c>
      <c r="N120" s="40">
        <v>7</v>
      </c>
      <c r="O120" s="41">
        <v>0</v>
      </c>
      <c r="P120" s="42">
        <v>14</v>
      </c>
      <c r="Q120" s="53"/>
    </row>
    <row r="121" spans="2:17" ht="19.95" customHeight="1" x14ac:dyDescent="0.3">
      <c r="B121" s="52" t="str">
        <f>'Satınalma Takvimi Veri Girişi'!$B$1</f>
        <v>3028 - MONA</v>
      </c>
      <c r="C121" s="32" t="s">
        <v>289</v>
      </c>
      <c r="D121" s="32">
        <v>1</v>
      </c>
      <c r="E121" s="33" t="str">
        <f t="shared" si="4"/>
        <v>IHL.3028.116/1</v>
      </c>
      <c r="F121" s="31" t="s">
        <v>294</v>
      </c>
      <c r="G121" s="34" t="s">
        <v>246</v>
      </c>
      <c r="H121" s="34" t="s">
        <v>315</v>
      </c>
      <c r="I121" s="35"/>
      <c r="J121" s="36">
        <v>14</v>
      </c>
      <c r="K121" s="37">
        <v>7</v>
      </c>
      <c r="L121" s="38">
        <v>14</v>
      </c>
      <c r="M121" s="39">
        <v>7</v>
      </c>
      <c r="N121" s="40">
        <v>7</v>
      </c>
      <c r="O121" s="41">
        <v>0</v>
      </c>
      <c r="P121" s="42">
        <v>42</v>
      </c>
      <c r="Q121" s="53"/>
    </row>
    <row r="122" spans="2:17" ht="19.95" customHeight="1" x14ac:dyDescent="0.3">
      <c r="B122" s="52" t="str">
        <f>'Satınalma Takvimi Veri Girişi'!$B$1</f>
        <v>3028 - MONA</v>
      </c>
      <c r="C122" s="54" t="s">
        <v>317</v>
      </c>
      <c r="D122" s="32">
        <v>1</v>
      </c>
      <c r="E122" s="33" t="str">
        <f t="shared" si="4"/>
        <v>IHL.3028.117/1</v>
      </c>
      <c r="F122" s="31" t="s">
        <v>304</v>
      </c>
      <c r="G122" s="34" t="s">
        <v>246</v>
      </c>
      <c r="H122" s="34" t="s">
        <v>315</v>
      </c>
      <c r="I122" s="35"/>
      <c r="J122" s="36">
        <v>14</v>
      </c>
      <c r="K122" s="37">
        <v>7</v>
      </c>
      <c r="L122" s="38">
        <v>14</v>
      </c>
      <c r="M122" s="39">
        <v>7</v>
      </c>
      <c r="N122" s="40">
        <v>7</v>
      </c>
      <c r="O122" s="41">
        <v>0</v>
      </c>
      <c r="P122" s="42">
        <v>28</v>
      </c>
      <c r="Q122" s="53"/>
    </row>
    <row r="123" spans="2:17" ht="19.95" customHeight="1" x14ac:dyDescent="0.3">
      <c r="B123" s="52" t="str">
        <f>'Satınalma Takvimi Veri Girişi'!$B$1</f>
        <v>3028 - MONA</v>
      </c>
      <c r="C123" s="54" t="s">
        <v>318</v>
      </c>
      <c r="D123" s="32">
        <v>1</v>
      </c>
      <c r="E123" s="33" t="str">
        <f t="shared" si="4"/>
        <v>IHL.3028.118/1</v>
      </c>
      <c r="F123" s="31" t="s">
        <v>292</v>
      </c>
      <c r="G123" s="34" t="s">
        <v>245</v>
      </c>
      <c r="H123" s="34" t="s">
        <v>315</v>
      </c>
      <c r="I123" s="35"/>
      <c r="J123" s="36">
        <v>14</v>
      </c>
      <c r="K123" s="37">
        <v>14</v>
      </c>
      <c r="L123" s="38">
        <v>21</v>
      </c>
      <c r="M123" s="39">
        <v>14</v>
      </c>
      <c r="N123" s="40">
        <v>14</v>
      </c>
      <c r="O123" s="41">
        <v>0</v>
      </c>
      <c r="P123" s="42">
        <v>21</v>
      </c>
      <c r="Q123" s="53"/>
    </row>
    <row r="124" spans="2:17" ht="19.95" customHeight="1" x14ac:dyDescent="0.3">
      <c r="B124" s="52" t="str">
        <f>'Satınalma Takvimi Veri Girişi'!$B$1</f>
        <v>3028 - MONA</v>
      </c>
      <c r="C124" s="32" t="s">
        <v>319</v>
      </c>
      <c r="D124" s="32">
        <v>1</v>
      </c>
      <c r="E124" s="33" t="str">
        <f t="shared" si="4"/>
        <v>IHL.3028.119/1</v>
      </c>
      <c r="F124" s="31" t="s">
        <v>300</v>
      </c>
      <c r="G124" s="34" t="s">
        <v>245</v>
      </c>
      <c r="H124" s="34" t="s">
        <v>315</v>
      </c>
      <c r="I124" s="35"/>
      <c r="J124" s="36">
        <v>14</v>
      </c>
      <c r="K124" s="37">
        <v>14</v>
      </c>
      <c r="L124" s="38">
        <v>21</v>
      </c>
      <c r="M124" s="39">
        <v>14</v>
      </c>
      <c r="N124" s="40">
        <v>14</v>
      </c>
      <c r="O124" s="41">
        <v>0</v>
      </c>
      <c r="P124" s="42">
        <v>56</v>
      </c>
      <c r="Q124" s="53" t="s">
        <v>341</v>
      </c>
    </row>
    <row r="125" spans="2:17" ht="19.95" customHeight="1" x14ac:dyDescent="0.3">
      <c r="B125" s="52" t="str">
        <f>'Satınalma Takvimi Veri Girişi'!$B$1</f>
        <v>3028 - MONA</v>
      </c>
      <c r="C125" s="54" t="s">
        <v>320</v>
      </c>
      <c r="D125" s="32">
        <v>1</v>
      </c>
      <c r="E125" s="33" t="str">
        <f t="shared" si="4"/>
        <v>IHL.3028.120/1</v>
      </c>
      <c r="F125" s="31" t="s">
        <v>301</v>
      </c>
      <c r="G125" s="34" t="s">
        <v>246</v>
      </c>
      <c r="H125" s="34" t="s">
        <v>315</v>
      </c>
      <c r="I125" s="35"/>
      <c r="J125" s="36">
        <v>14</v>
      </c>
      <c r="K125" s="37">
        <v>7</v>
      </c>
      <c r="L125" s="38">
        <v>14</v>
      </c>
      <c r="M125" s="39">
        <v>7</v>
      </c>
      <c r="N125" s="40">
        <v>7</v>
      </c>
      <c r="O125" s="41">
        <v>0</v>
      </c>
      <c r="P125" s="42">
        <v>56</v>
      </c>
      <c r="Q125" s="53"/>
    </row>
    <row r="126" spans="2:17" ht="19.95" customHeight="1" x14ac:dyDescent="0.3">
      <c r="B126" s="52" t="str">
        <f>'Satınalma Takvimi Veri Girişi'!$B$1</f>
        <v>3028 - MONA</v>
      </c>
      <c r="C126" s="54" t="s">
        <v>321</v>
      </c>
      <c r="D126" s="32">
        <v>1</v>
      </c>
      <c r="E126" s="33" t="str">
        <f t="shared" si="4"/>
        <v>IHL.3028.121/1</v>
      </c>
      <c r="F126" s="31" t="s">
        <v>302</v>
      </c>
      <c r="G126" s="34" t="s">
        <v>246</v>
      </c>
      <c r="H126" s="34" t="s">
        <v>315</v>
      </c>
      <c r="I126" s="35"/>
      <c r="J126" s="36">
        <v>14</v>
      </c>
      <c r="K126" s="37">
        <v>7</v>
      </c>
      <c r="L126" s="38">
        <v>14</v>
      </c>
      <c r="M126" s="39">
        <v>7</v>
      </c>
      <c r="N126" s="40">
        <v>7</v>
      </c>
      <c r="O126" s="41">
        <v>0</v>
      </c>
      <c r="P126" s="42">
        <v>42</v>
      </c>
      <c r="Q126" s="53"/>
    </row>
    <row r="127" spans="2:17" ht="19.95" customHeight="1" x14ac:dyDescent="0.3">
      <c r="B127" s="52" t="str">
        <f>'Satınalma Takvimi Veri Girişi'!$B$1</f>
        <v>3028 - MONA</v>
      </c>
      <c r="C127" s="32" t="s">
        <v>322</v>
      </c>
      <c r="D127" s="32">
        <v>1</v>
      </c>
      <c r="E127" s="33" t="str">
        <f t="shared" si="4"/>
        <v>IHL.3028.122/1</v>
      </c>
      <c r="F127" s="31" t="s">
        <v>303</v>
      </c>
      <c r="G127" s="34" t="s">
        <v>246</v>
      </c>
      <c r="H127" s="34" t="s">
        <v>315</v>
      </c>
      <c r="I127" s="35"/>
      <c r="J127" s="36">
        <v>14</v>
      </c>
      <c r="K127" s="37">
        <v>14</v>
      </c>
      <c r="L127" s="38">
        <v>14</v>
      </c>
      <c r="M127" s="39">
        <v>7</v>
      </c>
      <c r="N127" s="40">
        <v>7</v>
      </c>
      <c r="O127" s="41">
        <v>0</v>
      </c>
      <c r="P127" s="42">
        <v>56</v>
      </c>
      <c r="Q127" s="53" t="s">
        <v>341</v>
      </c>
    </row>
    <row r="128" spans="2:17" ht="19.95" customHeight="1" x14ac:dyDescent="0.3">
      <c r="B128" s="52" t="str">
        <f>'Satınalma Takvimi Veri Girişi'!$B$1</f>
        <v>3028 - MONA</v>
      </c>
      <c r="C128" s="54" t="s">
        <v>323</v>
      </c>
      <c r="D128" s="32">
        <v>1</v>
      </c>
      <c r="E128" s="33" t="str">
        <f t="shared" si="4"/>
        <v>IHL.3028.123/1</v>
      </c>
      <c r="F128" s="31" t="s">
        <v>293</v>
      </c>
      <c r="G128" s="34" t="s">
        <v>246</v>
      </c>
      <c r="H128" s="34" t="s">
        <v>315</v>
      </c>
      <c r="I128" s="35"/>
      <c r="J128" s="36">
        <v>14</v>
      </c>
      <c r="K128" s="37">
        <v>14</v>
      </c>
      <c r="L128" s="38">
        <v>21</v>
      </c>
      <c r="M128" s="39">
        <v>7</v>
      </c>
      <c r="N128" s="40">
        <v>7</v>
      </c>
      <c r="O128" s="41">
        <v>0</v>
      </c>
      <c r="P128" s="42">
        <v>28</v>
      </c>
      <c r="Q128" s="53"/>
    </row>
    <row r="129" spans="2:17" ht="19.95" customHeight="1" x14ac:dyDescent="0.3">
      <c r="B129" s="52" t="str">
        <f>'Satınalma Takvimi Veri Girişi'!$B$1</f>
        <v>3028 - MONA</v>
      </c>
      <c r="C129" s="54" t="s">
        <v>324</v>
      </c>
      <c r="D129" s="32">
        <v>1</v>
      </c>
      <c r="E129" s="33" t="str">
        <f t="shared" si="4"/>
        <v>IHL.3028.124/1</v>
      </c>
      <c r="F129" s="31" t="s">
        <v>297</v>
      </c>
      <c r="G129" s="34" t="s">
        <v>246</v>
      </c>
      <c r="H129" s="34" t="s">
        <v>315</v>
      </c>
      <c r="I129" s="35"/>
      <c r="J129" s="36">
        <v>14</v>
      </c>
      <c r="K129" s="37">
        <v>14</v>
      </c>
      <c r="L129" s="38">
        <v>21</v>
      </c>
      <c r="M129" s="39">
        <v>7</v>
      </c>
      <c r="N129" s="40">
        <v>7</v>
      </c>
      <c r="O129" s="41">
        <v>0</v>
      </c>
      <c r="P129" s="42">
        <v>56</v>
      </c>
      <c r="Q129" s="53" t="s">
        <v>341</v>
      </c>
    </row>
    <row r="130" spans="2:17" ht="19.95" customHeight="1" x14ac:dyDescent="0.3">
      <c r="B130" s="52" t="str">
        <f>'Satınalma Takvimi Veri Girişi'!$B$1</f>
        <v>3028 - MONA</v>
      </c>
      <c r="C130" s="32" t="s">
        <v>325</v>
      </c>
      <c r="D130" s="32">
        <v>1</v>
      </c>
      <c r="E130" s="33" t="str">
        <f t="shared" si="4"/>
        <v>IHL.3028.125/1</v>
      </c>
      <c r="F130" s="31" t="s">
        <v>295</v>
      </c>
      <c r="G130" s="34" t="s">
        <v>246</v>
      </c>
      <c r="H130" s="34" t="s">
        <v>315</v>
      </c>
      <c r="I130" s="35"/>
      <c r="J130" s="36">
        <v>14</v>
      </c>
      <c r="K130" s="37">
        <v>7</v>
      </c>
      <c r="L130" s="38">
        <v>14</v>
      </c>
      <c r="M130" s="39">
        <v>7</v>
      </c>
      <c r="N130" s="40">
        <v>7</v>
      </c>
      <c r="O130" s="41">
        <v>0</v>
      </c>
      <c r="P130" s="42">
        <v>70</v>
      </c>
      <c r="Q130" s="53"/>
    </row>
    <row r="131" spans="2:17" ht="19.95" customHeight="1" x14ac:dyDescent="0.3">
      <c r="B131" s="52" t="str">
        <f>'Satınalma Takvimi Veri Girişi'!$B$1</f>
        <v>3028 - MONA</v>
      </c>
      <c r="C131" s="54" t="s">
        <v>326</v>
      </c>
      <c r="D131" s="32">
        <v>1</v>
      </c>
      <c r="E131" s="33" t="str">
        <f t="shared" si="4"/>
        <v>IHL.3028.126/1</v>
      </c>
      <c r="F131" s="31" t="s">
        <v>296</v>
      </c>
      <c r="G131" s="34" t="s">
        <v>246</v>
      </c>
      <c r="H131" s="34" t="s">
        <v>315</v>
      </c>
      <c r="I131" s="35"/>
      <c r="J131" s="36">
        <v>14</v>
      </c>
      <c r="K131" s="37">
        <v>7</v>
      </c>
      <c r="L131" s="38">
        <v>7</v>
      </c>
      <c r="M131" s="39">
        <v>7</v>
      </c>
      <c r="N131" s="40">
        <v>7</v>
      </c>
      <c r="O131" s="41">
        <v>0</v>
      </c>
      <c r="P131" s="42">
        <v>42</v>
      </c>
      <c r="Q131" s="53"/>
    </row>
    <row r="132" spans="2:17" ht="19.95" customHeight="1" x14ac:dyDescent="0.3">
      <c r="B132" s="52" t="str">
        <f>'Satınalma Takvimi Veri Girişi'!$B$1</f>
        <v>3028 - MONA</v>
      </c>
      <c r="C132" s="54" t="s">
        <v>327</v>
      </c>
      <c r="D132" s="32">
        <v>1</v>
      </c>
      <c r="E132" s="33" t="str">
        <f t="shared" si="4"/>
        <v>IHL.3028.127/1</v>
      </c>
      <c r="F132" s="31" t="s">
        <v>298</v>
      </c>
      <c r="G132" s="34" t="s">
        <v>246</v>
      </c>
      <c r="H132" s="34" t="s">
        <v>315</v>
      </c>
      <c r="I132" s="35"/>
      <c r="J132" s="36">
        <v>14</v>
      </c>
      <c r="K132" s="37">
        <v>14</v>
      </c>
      <c r="L132" s="38">
        <v>14</v>
      </c>
      <c r="M132" s="39">
        <v>7</v>
      </c>
      <c r="N132" s="40">
        <v>7</v>
      </c>
      <c r="O132" s="41">
        <v>0</v>
      </c>
      <c r="P132" s="42">
        <v>28</v>
      </c>
      <c r="Q132" s="53"/>
    </row>
    <row r="133" spans="2:17" ht="19.95" customHeight="1" x14ac:dyDescent="0.3">
      <c r="B133" s="52" t="str">
        <f>'Satınalma Takvimi Veri Girişi'!$B$1</f>
        <v>3028 - MONA</v>
      </c>
      <c r="C133" s="32" t="s">
        <v>328</v>
      </c>
      <c r="D133" s="32">
        <v>1</v>
      </c>
      <c r="E133" s="33" t="str">
        <f t="shared" si="4"/>
        <v>IHL.3028.128/1</v>
      </c>
      <c r="F133" s="31" t="s">
        <v>299</v>
      </c>
      <c r="G133" s="34" t="s">
        <v>246</v>
      </c>
      <c r="H133" s="34" t="s">
        <v>315</v>
      </c>
      <c r="I133" s="35"/>
      <c r="J133" s="36">
        <v>14</v>
      </c>
      <c r="K133" s="37">
        <v>14</v>
      </c>
      <c r="L133" s="38">
        <v>21</v>
      </c>
      <c r="M133" s="39">
        <v>14</v>
      </c>
      <c r="N133" s="40">
        <v>14</v>
      </c>
      <c r="O133" s="41">
        <v>0</v>
      </c>
      <c r="P133" s="42">
        <v>42</v>
      </c>
      <c r="Q133" s="53"/>
    </row>
    <row r="134" spans="2:17" ht="19.95" customHeight="1" x14ac:dyDescent="0.3">
      <c r="B134" s="52" t="str">
        <f>'Satınalma Takvimi Veri Girişi'!$B$1</f>
        <v>3028 - MONA</v>
      </c>
      <c r="C134" s="54" t="s">
        <v>329</v>
      </c>
      <c r="D134" s="32">
        <v>1</v>
      </c>
      <c r="E134" s="33" t="str">
        <f t="shared" si="4"/>
        <v>IHL.3028.129/1</v>
      </c>
      <c r="F134" s="31" t="s">
        <v>306</v>
      </c>
      <c r="G134" s="34" t="s">
        <v>246</v>
      </c>
      <c r="H134" s="34" t="s">
        <v>316</v>
      </c>
      <c r="I134" s="35"/>
      <c r="J134" s="36">
        <v>14</v>
      </c>
      <c r="K134" s="37">
        <v>7</v>
      </c>
      <c r="L134" s="38">
        <v>14</v>
      </c>
      <c r="M134" s="39">
        <v>7</v>
      </c>
      <c r="N134" s="40">
        <v>7</v>
      </c>
      <c r="O134" s="41">
        <v>0</v>
      </c>
      <c r="P134" s="42">
        <v>7</v>
      </c>
      <c r="Q134" s="53"/>
    </row>
    <row r="135" spans="2:17" ht="19.95" customHeight="1" x14ac:dyDescent="0.3">
      <c r="B135" s="52" t="str">
        <f>'Satınalma Takvimi Veri Girişi'!$B$1</f>
        <v>3028 - MONA</v>
      </c>
      <c r="C135" s="54" t="s">
        <v>330</v>
      </c>
      <c r="D135" s="32">
        <v>1</v>
      </c>
      <c r="E135" s="33" t="str">
        <f t="shared" si="4"/>
        <v>IHL.3028.130/1</v>
      </c>
      <c r="F135" s="31" t="s">
        <v>307</v>
      </c>
      <c r="G135" s="34" t="s">
        <v>245</v>
      </c>
      <c r="H135" s="34" t="s">
        <v>316</v>
      </c>
      <c r="I135" s="35"/>
      <c r="J135" s="36">
        <v>14</v>
      </c>
      <c r="K135" s="37">
        <v>21</v>
      </c>
      <c r="L135" s="38">
        <v>30</v>
      </c>
      <c r="M135" s="39">
        <v>10</v>
      </c>
      <c r="N135" s="40">
        <v>14</v>
      </c>
      <c r="O135" s="41">
        <v>0</v>
      </c>
      <c r="P135" s="42">
        <v>14</v>
      </c>
      <c r="Q135" s="53"/>
    </row>
    <row r="136" spans="2:17" ht="19.95" customHeight="1" x14ac:dyDescent="0.3">
      <c r="B136" s="52" t="str">
        <f>'Satınalma Takvimi Veri Girişi'!$B$1</f>
        <v>3028 - MONA</v>
      </c>
      <c r="C136" s="32" t="s">
        <v>331</v>
      </c>
      <c r="D136" s="32">
        <v>1</v>
      </c>
      <c r="E136" s="33" t="str">
        <f t="shared" si="4"/>
        <v>IHL.3028.131/1</v>
      </c>
      <c r="F136" s="31" t="s">
        <v>305</v>
      </c>
      <c r="G136" s="34" t="s">
        <v>246</v>
      </c>
      <c r="H136" s="34" t="s">
        <v>316</v>
      </c>
      <c r="I136" s="35"/>
      <c r="J136" s="36">
        <v>14</v>
      </c>
      <c r="K136" s="37">
        <v>7</v>
      </c>
      <c r="L136" s="38">
        <v>14</v>
      </c>
      <c r="M136" s="39">
        <v>7</v>
      </c>
      <c r="N136" s="40">
        <v>7</v>
      </c>
      <c r="O136" s="41">
        <v>0</v>
      </c>
      <c r="P136" s="42">
        <v>70</v>
      </c>
      <c r="Q136" s="53"/>
    </row>
    <row r="137" spans="2:17" ht="19.95" customHeight="1" x14ac:dyDescent="0.3">
      <c r="B137" s="52" t="str">
        <f>'Satınalma Takvimi Veri Girişi'!$B$1</f>
        <v>3028 - MONA</v>
      </c>
      <c r="C137" s="54" t="s">
        <v>332</v>
      </c>
      <c r="D137" s="32">
        <v>1</v>
      </c>
      <c r="E137" s="33" t="str">
        <f t="shared" si="4"/>
        <v>IHL.3028.132/1</v>
      </c>
      <c r="F137" s="31" t="s">
        <v>343</v>
      </c>
      <c r="G137" s="34" t="s">
        <v>246</v>
      </c>
      <c r="H137" s="34" t="s">
        <v>316</v>
      </c>
      <c r="I137" s="35"/>
      <c r="J137" s="36">
        <v>14</v>
      </c>
      <c r="K137" s="37">
        <v>14</v>
      </c>
      <c r="L137" s="38">
        <v>14</v>
      </c>
      <c r="M137" s="39">
        <v>7</v>
      </c>
      <c r="N137" s="40">
        <v>7</v>
      </c>
      <c r="O137" s="41">
        <v>0</v>
      </c>
      <c r="P137" s="42">
        <v>42</v>
      </c>
      <c r="Q137" s="53" t="s">
        <v>341</v>
      </c>
    </row>
    <row r="138" spans="2:17" ht="19.95" customHeight="1" x14ac:dyDescent="0.3">
      <c r="B138" s="52" t="str">
        <f>'Satınalma Takvimi Veri Girişi'!$B$1</f>
        <v>3028 - MONA</v>
      </c>
      <c r="C138" s="54" t="s">
        <v>333</v>
      </c>
      <c r="D138" s="32">
        <v>1</v>
      </c>
      <c r="E138" s="33" t="str">
        <f t="shared" si="4"/>
        <v>IHL.3028.133/1</v>
      </c>
      <c r="F138" s="31" t="s">
        <v>308</v>
      </c>
      <c r="G138" s="34" t="s">
        <v>246</v>
      </c>
      <c r="H138" s="34" t="s">
        <v>316</v>
      </c>
      <c r="I138" s="35"/>
      <c r="J138" s="36">
        <v>14</v>
      </c>
      <c r="K138" s="37">
        <v>14</v>
      </c>
      <c r="L138" s="38">
        <v>14</v>
      </c>
      <c r="M138" s="39">
        <v>7</v>
      </c>
      <c r="N138" s="40">
        <v>7</v>
      </c>
      <c r="O138" s="41">
        <v>0</v>
      </c>
      <c r="P138" s="42">
        <v>84</v>
      </c>
      <c r="Q138" s="53"/>
    </row>
    <row r="139" spans="2:17" ht="19.95" customHeight="1" x14ac:dyDescent="0.3">
      <c r="B139" s="52" t="str">
        <f>'Satınalma Takvimi Veri Girişi'!$B$1</f>
        <v>3028 - MONA</v>
      </c>
      <c r="C139" s="32" t="s">
        <v>334</v>
      </c>
      <c r="D139" s="32">
        <v>1</v>
      </c>
      <c r="E139" s="33" t="str">
        <f t="shared" si="4"/>
        <v>IHL.3028.134/1</v>
      </c>
      <c r="F139" s="31" t="s">
        <v>309</v>
      </c>
      <c r="G139" s="34" t="s">
        <v>246</v>
      </c>
      <c r="H139" s="34" t="s">
        <v>316</v>
      </c>
      <c r="I139" s="35"/>
      <c r="J139" s="36">
        <v>14</v>
      </c>
      <c r="K139" s="37">
        <v>14</v>
      </c>
      <c r="L139" s="38">
        <v>14</v>
      </c>
      <c r="M139" s="39">
        <v>7</v>
      </c>
      <c r="N139" s="40">
        <v>7</v>
      </c>
      <c r="O139" s="41">
        <v>0</v>
      </c>
      <c r="P139" s="42">
        <v>42</v>
      </c>
      <c r="Q139" s="53" t="s">
        <v>341</v>
      </c>
    </row>
    <row r="140" spans="2:17" ht="19.95" customHeight="1" x14ac:dyDescent="0.3">
      <c r="B140" s="52" t="str">
        <f>'Satınalma Takvimi Veri Girişi'!$B$1</f>
        <v>3028 - MONA</v>
      </c>
      <c r="C140" s="54" t="s">
        <v>335</v>
      </c>
      <c r="D140" s="32">
        <v>1</v>
      </c>
      <c r="E140" s="33" t="str">
        <f t="shared" si="4"/>
        <v>IHL.3028.135/1</v>
      </c>
      <c r="F140" s="31" t="s">
        <v>310</v>
      </c>
      <c r="G140" s="34" t="s">
        <v>246</v>
      </c>
      <c r="H140" s="34" t="s">
        <v>316</v>
      </c>
      <c r="I140" s="35"/>
      <c r="J140" s="36">
        <v>14</v>
      </c>
      <c r="K140" s="37">
        <v>14</v>
      </c>
      <c r="L140" s="38">
        <v>14</v>
      </c>
      <c r="M140" s="39">
        <v>7</v>
      </c>
      <c r="N140" s="40">
        <v>7</v>
      </c>
      <c r="O140" s="41">
        <v>0</v>
      </c>
      <c r="P140" s="42">
        <v>42</v>
      </c>
      <c r="Q140" s="53" t="s">
        <v>341</v>
      </c>
    </row>
    <row r="141" spans="2:17" ht="19.95" customHeight="1" x14ac:dyDescent="0.3">
      <c r="B141" s="52" t="str">
        <f>'Satınalma Takvimi Veri Girişi'!$B$1</f>
        <v>3028 - MONA</v>
      </c>
      <c r="C141" s="54" t="s">
        <v>336</v>
      </c>
      <c r="D141" s="32">
        <v>1</v>
      </c>
      <c r="E141" s="33" t="str">
        <f t="shared" si="4"/>
        <v>IHL.3028.136/1</v>
      </c>
      <c r="F141" s="31" t="s">
        <v>311</v>
      </c>
      <c r="G141" s="34" t="s">
        <v>246</v>
      </c>
      <c r="H141" s="34" t="s">
        <v>316</v>
      </c>
      <c r="I141" s="35"/>
      <c r="J141" s="36">
        <v>14</v>
      </c>
      <c r="K141" s="37">
        <v>14</v>
      </c>
      <c r="L141" s="38">
        <v>14</v>
      </c>
      <c r="M141" s="39">
        <v>7</v>
      </c>
      <c r="N141" s="40">
        <v>7</v>
      </c>
      <c r="O141" s="41">
        <v>0</v>
      </c>
      <c r="P141" s="42">
        <v>56</v>
      </c>
      <c r="Q141" s="53" t="s">
        <v>341</v>
      </c>
    </row>
    <row r="142" spans="2:17" ht="19.95" customHeight="1" x14ac:dyDescent="0.3">
      <c r="B142" s="52" t="str">
        <f>'Satınalma Takvimi Veri Girişi'!$B$1</f>
        <v>3028 - MONA</v>
      </c>
      <c r="C142" s="32" t="s">
        <v>337</v>
      </c>
      <c r="D142" s="32">
        <v>1</v>
      </c>
      <c r="E142" s="33" t="str">
        <f t="shared" si="4"/>
        <v>IHL.3028.137/1</v>
      </c>
      <c r="F142" s="31" t="s">
        <v>313</v>
      </c>
      <c r="G142" s="34" t="s">
        <v>246</v>
      </c>
      <c r="H142" s="34" t="s">
        <v>316</v>
      </c>
      <c r="I142" s="35"/>
      <c r="J142" s="36">
        <v>14</v>
      </c>
      <c r="K142" s="37">
        <v>7</v>
      </c>
      <c r="L142" s="38">
        <v>7</v>
      </c>
      <c r="M142" s="39">
        <v>3</v>
      </c>
      <c r="N142" s="40">
        <v>7</v>
      </c>
      <c r="O142" s="41">
        <v>0</v>
      </c>
      <c r="P142" s="42">
        <v>42</v>
      </c>
      <c r="Q142" s="53"/>
    </row>
    <row r="143" spans="2:17" ht="19.95" customHeight="1" x14ac:dyDescent="0.3">
      <c r="B143" s="52" t="str">
        <f>'Satınalma Takvimi Veri Girişi'!$B$1</f>
        <v>3028 - MONA</v>
      </c>
      <c r="C143" s="54" t="s">
        <v>338</v>
      </c>
      <c r="D143" s="32">
        <v>1</v>
      </c>
      <c r="E143" s="33" t="str">
        <f t="shared" si="4"/>
        <v>IHL.3028.138/1</v>
      </c>
      <c r="F143" s="31" t="s">
        <v>312</v>
      </c>
      <c r="G143" s="34" t="s">
        <v>246</v>
      </c>
      <c r="H143" s="34" t="s">
        <v>316</v>
      </c>
      <c r="I143" s="35"/>
      <c r="J143" s="36">
        <v>14</v>
      </c>
      <c r="K143" s="37">
        <v>14</v>
      </c>
      <c r="L143" s="38">
        <v>14</v>
      </c>
      <c r="M143" s="39">
        <v>7</v>
      </c>
      <c r="N143" s="40">
        <v>7</v>
      </c>
      <c r="O143" s="41">
        <v>0</v>
      </c>
      <c r="P143" s="42">
        <v>14</v>
      </c>
      <c r="Q143" s="53"/>
    </row>
    <row r="144" spans="2:17" ht="19.95" customHeight="1" x14ac:dyDescent="0.3">
      <c r="B144" s="52" t="str">
        <f>'Satınalma Takvimi Veri Girişi'!$B$1</f>
        <v>3028 - MONA</v>
      </c>
      <c r="C144" s="54" t="s">
        <v>339</v>
      </c>
      <c r="D144" s="32">
        <v>1</v>
      </c>
      <c r="E144" s="33" t="str">
        <f t="shared" si="4"/>
        <v>IHL.3028.139/1</v>
      </c>
      <c r="F144" s="31" t="s">
        <v>314</v>
      </c>
      <c r="G144" s="34" t="s">
        <v>246</v>
      </c>
      <c r="H144" s="34" t="s">
        <v>316</v>
      </c>
      <c r="I144" s="35"/>
      <c r="J144" s="36">
        <v>14</v>
      </c>
      <c r="K144" s="37">
        <v>14</v>
      </c>
      <c r="L144" s="38">
        <v>14</v>
      </c>
      <c r="M144" s="39">
        <v>7</v>
      </c>
      <c r="N144" s="40">
        <v>7</v>
      </c>
      <c r="O144" s="41">
        <v>0</v>
      </c>
      <c r="P144" s="42">
        <v>14</v>
      </c>
      <c r="Q144" s="53"/>
    </row>
    <row r="145" spans="2:17" ht="19.95" customHeight="1" x14ac:dyDescent="0.3">
      <c r="B145" s="52" t="str">
        <f>'Satınalma Takvimi Veri Girişi'!$B$1</f>
        <v>3028 - MONA</v>
      </c>
      <c r="C145" s="32" t="s">
        <v>340</v>
      </c>
      <c r="D145" s="32">
        <v>1</v>
      </c>
      <c r="E145" s="33" t="str">
        <f t="shared" si="4"/>
        <v>IHL.3028.140/1</v>
      </c>
      <c r="F145" s="31" t="s">
        <v>135</v>
      </c>
      <c r="G145" s="34" t="s">
        <v>245</v>
      </c>
      <c r="H145" s="34" t="s">
        <v>316</v>
      </c>
      <c r="I145" s="35"/>
      <c r="J145" s="36">
        <v>14</v>
      </c>
      <c r="K145" s="37">
        <v>21</v>
      </c>
      <c r="L145" s="38">
        <v>30</v>
      </c>
      <c r="M145" s="39">
        <v>10</v>
      </c>
      <c r="N145" s="40">
        <v>14</v>
      </c>
      <c r="O145" s="41">
        <v>0</v>
      </c>
      <c r="P145" s="42">
        <v>14</v>
      </c>
      <c r="Q145" s="53" t="s">
        <v>342</v>
      </c>
    </row>
  </sheetData>
  <sheetProtection insertRows="0" deleteRows="0" sort="0"/>
  <autoFilter ref="B2:Q145" xr:uid="{724AE4CE-BEF8-4754-9543-A1067C5AF422}">
    <sortState xmlns:xlrd2="http://schemas.microsoft.com/office/spreadsheetml/2017/richdata2" ref="B3:Q145">
      <sortCondition ref="C2:C145"/>
    </sortState>
  </autoFilter>
  <phoneticPr fontId="24" type="noConversion"/>
  <conditionalFormatting sqref="E118:E145">
    <cfRule type="duplicateValues" dxfId="20" priority="3"/>
  </conditionalFormatting>
  <conditionalFormatting sqref="F42">
    <cfRule type="duplicateValues" dxfId="19" priority="106"/>
  </conditionalFormatting>
  <conditionalFormatting sqref="F114:F117 F145">
    <cfRule type="duplicateValues" dxfId="18" priority="107"/>
  </conditionalFormatting>
  <conditionalFormatting sqref="F113">
    <cfRule type="duplicateValues" dxfId="17" priority="109"/>
  </conditionalFormatting>
  <conditionalFormatting sqref="F109:F110">
    <cfRule type="duplicateValues" dxfId="16" priority="110"/>
  </conditionalFormatting>
  <conditionalFormatting sqref="F83:F84">
    <cfRule type="duplicateValues" dxfId="15" priority="111"/>
  </conditionalFormatting>
  <conditionalFormatting sqref="F86">
    <cfRule type="duplicateValues" dxfId="14" priority="112"/>
  </conditionalFormatting>
  <conditionalFormatting sqref="F73:F74">
    <cfRule type="duplicateValues" dxfId="13" priority="114"/>
  </conditionalFormatting>
  <conditionalFormatting sqref="F40:F41">
    <cfRule type="duplicateValues" dxfId="12" priority="115"/>
  </conditionalFormatting>
  <conditionalFormatting sqref="F98:F101">
    <cfRule type="duplicateValues" dxfId="11" priority="116"/>
  </conditionalFormatting>
  <conditionalFormatting sqref="F102">
    <cfRule type="duplicateValues" dxfId="10" priority="117"/>
  </conditionalFormatting>
  <conditionalFormatting sqref="F103">
    <cfRule type="duplicateValues" dxfId="9" priority="118"/>
  </conditionalFormatting>
  <conditionalFormatting sqref="F111:F112 F85 F25:F39 F104:F108 F43:F72 F87:F97 F75:F82">
    <cfRule type="duplicateValues" dxfId="8" priority="119"/>
  </conditionalFormatting>
  <conditionalFormatting sqref="F118:F144">
    <cfRule type="duplicateValues" dxfId="7" priority="126"/>
  </conditionalFormatting>
  <conditionalFormatting sqref="E3:E117">
    <cfRule type="duplicateValues" dxfId="6" priority="127"/>
  </conditionalFormatting>
  <conditionalFormatting sqref="F3:F24">
    <cfRule type="duplicateValues" dxfId="5" priority="130"/>
  </conditionalFormatting>
  <conditionalFormatting sqref="C3:C145">
    <cfRule type="duplicateValues" dxfId="4" priority="1"/>
  </conditionalFormatting>
  <dataValidations count="2">
    <dataValidation type="list" allowBlank="1" showInputMessage="1" showErrorMessage="1" sqref="H3:H145" xr:uid="{5A990E49-5F9F-444F-BD58-D3FD8A2180B4}">
      <formula1>"İNŞ, ELK, MEK, DZY, İDR"</formula1>
    </dataValidation>
    <dataValidation type="list" allowBlank="1" showInputMessage="1" showErrorMessage="1" sqref="G3:G145" xr:uid="{073309B8-1F56-4D6D-93B5-ED5D35FE1FBA}">
      <formula1>"A KATEGORİ, B KATEGORİ, C KATEGORİ"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AB6E8B-9BEF-487E-8629-A49C52C2BFA3}">
          <x14:formula1>
            <xm:f>Referans!$D$3:$D$12</xm:f>
          </x14:formula1>
          <xm:sqref>B3:B145</xm:sqref>
        </x14:dataValidation>
        <x14:dataValidation type="list" allowBlank="1" showInputMessage="1" showErrorMessage="1" xr:uid="{D66C1D65-8B18-4C40-8568-AED89D5040FC}">
          <x14:formula1>
            <xm:f>Referans!$E$3:$E$144</xm:f>
          </x14:formula1>
          <xm:sqref>F3:F145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497A-0FAA-4B9B-B85A-0EF11E018174}">
  <dimension ref="B2:C17"/>
  <sheetViews>
    <sheetView workbookViewId="0">
      <pane ySplit="2" topLeftCell="A3" activePane="bottomLeft" state="frozen"/>
      <selection pane="bottomLeft" activeCell="C6" sqref="C6"/>
    </sheetView>
  </sheetViews>
  <sheetFormatPr defaultRowHeight="14.4" x14ac:dyDescent="0.3"/>
  <cols>
    <col min="1" max="1" width="5.69921875" style="11" customWidth="1"/>
    <col min="2" max="2" width="8.796875" style="11"/>
    <col min="3" max="3" width="100.69921875" style="9" customWidth="1"/>
    <col min="4" max="16384" width="8.796875" style="11"/>
  </cols>
  <sheetData>
    <row r="2" spans="2:3" s="13" customFormat="1" ht="30" customHeight="1" x14ac:dyDescent="0.3">
      <c r="B2" s="118" t="s">
        <v>348</v>
      </c>
      <c r="C2" s="118"/>
    </row>
    <row r="3" spans="2:3" s="13" customFormat="1" ht="30" customHeight="1" x14ac:dyDescent="0.3">
      <c r="B3" s="117">
        <v>1</v>
      </c>
      <c r="C3" s="119" t="s">
        <v>344</v>
      </c>
    </row>
    <row r="4" spans="2:3" s="13" customFormat="1" ht="30" customHeight="1" x14ac:dyDescent="0.3">
      <c r="B4" s="117">
        <f>+B3+1</f>
        <v>2</v>
      </c>
      <c r="C4" s="119" t="s">
        <v>345</v>
      </c>
    </row>
    <row r="5" spans="2:3" s="13" customFormat="1" ht="30" customHeight="1" x14ac:dyDescent="0.3">
      <c r="B5" s="117">
        <f t="shared" ref="B5:B13" si="0">+B4+1</f>
        <v>3</v>
      </c>
      <c r="C5" s="119" t="s">
        <v>346</v>
      </c>
    </row>
    <row r="6" spans="2:3" s="13" customFormat="1" ht="30" customHeight="1" x14ac:dyDescent="0.3">
      <c r="B6" s="117">
        <f t="shared" si="0"/>
        <v>4</v>
      </c>
      <c r="C6" s="119" t="s">
        <v>347</v>
      </c>
    </row>
    <row r="7" spans="2:3" s="13" customFormat="1" ht="30" customHeight="1" x14ac:dyDescent="0.3">
      <c r="B7" s="117">
        <f t="shared" si="0"/>
        <v>5</v>
      </c>
      <c r="C7" s="119" t="s">
        <v>352</v>
      </c>
    </row>
    <row r="8" spans="2:3" s="13" customFormat="1" ht="30" customHeight="1" x14ac:dyDescent="0.3">
      <c r="B8" s="117">
        <f t="shared" si="0"/>
        <v>6</v>
      </c>
      <c r="C8" s="119" t="s">
        <v>353</v>
      </c>
    </row>
    <row r="9" spans="2:3" s="13" customFormat="1" ht="30" customHeight="1" x14ac:dyDescent="0.3">
      <c r="B9" s="117">
        <f t="shared" si="0"/>
        <v>7</v>
      </c>
      <c r="C9" s="119" t="s">
        <v>358</v>
      </c>
    </row>
    <row r="10" spans="2:3" s="13" customFormat="1" ht="30" customHeight="1" x14ac:dyDescent="0.3">
      <c r="B10" s="117">
        <f t="shared" si="0"/>
        <v>8</v>
      </c>
      <c r="C10" s="119" t="s">
        <v>250</v>
      </c>
    </row>
    <row r="11" spans="2:3" s="13" customFormat="1" ht="30" customHeight="1" x14ac:dyDescent="0.3">
      <c r="B11" s="117">
        <f t="shared" si="0"/>
        <v>9</v>
      </c>
      <c r="C11" s="120" t="s">
        <v>290</v>
      </c>
    </row>
    <row r="12" spans="2:3" s="13" customFormat="1" ht="30" customHeight="1" x14ac:dyDescent="0.3">
      <c r="B12" s="117">
        <f t="shared" si="0"/>
        <v>10</v>
      </c>
      <c r="C12" s="120" t="s">
        <v>350</v>
      </c>
    </row>
    <row r="13" spans="2:3" s="13" customFormat="1" ht="30" customHeight="1" x14ac:dyDescent="0.3">
      <c r="B13" s="117">
        <f t="shared" si="0"/>
        <v>11</v>
      </c>
      <c r="C13" s="120" t="s">
        <v>351</v>
      </c>
    </row>
    <row r="14" spans="2:3" s="13" customFormat="1" ht="30" customHeight="1" x14ac:dyDescent="0.3">
      <c r="C14" s="14"/>
    </row>
    <row r="15" spans="2:3" s="13" customFormat="1" ht="30" customHeight="1" x14ac:dyDescent="0.3">
      <c r="C15" s="14"/>
    </row>
    <row r="16" spans="2:3" s="13" customFormat="1" ht="30" customHeight="1" x14ac:dyDescent="0.3">
      <c r="C16" s="14"/>
    </row>
    <row r="17" spans="3:3" s="13" customFormat="1" ht="30" customHeight="1" x14ac:dyDescent="0.3">
      <c r="C17" s="14"/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6949C-9E2A-4976-B957-CE02D1D133BA}">
  <dimension ref="B1:AC147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0" sqref="E10"/>
    </sheetView>
  </sheetViews>
  <sheetFormatPr defaultRowHeight="14.4" outlineLevelCol="1" x14ac:dyDescent="0.3"/>
  <cols>
    <col min="1" max="1" width="5.69921875" style="20" customWidth="1"/>
    <col min="2" max="2" width="15.69921875" style="20" customWidth="1"/>
    <col min="3" max="4" width="45.69921875" style="20" customWidth="1"/>
    <col min="5" max="6" width="10.69921875" style="20" customWidth="1"/>
    <col min="7" max="7" width="13.69921875" style="20" customWidth="1"/>
    <col min="8" max="8" width="13.69921875" style="20" customWidth="1" outlineLevel="1"/>
    <col min="9" max="9" width="13.69921875" style="20" customWidth="1"/>
    <col min="10" max="10" width="13.69921875" style="20" customWidth="1" outlineLevel="1"/>
    <col min="11" max="11" width="13.69921875" style="67" customWidth="1"/>
    <col min="12" max="12" width="13.69921875" style="67" customWidth="1" outlineLevel="1"/>
    <col min="13" max="13" width="13.69921875" style="67" customWidth="1"/>
    <col min="14" max="14" width="13.69921875" style="20" customWidth="1" outlineLevel="1"/>
    <col min="15" max="15" width="13.69921875" style="20" customWidth="1"/>
    <col min="16" max="16" width="13.69921875" style="20" customWidth="1" outlineLevel="1"/>
    <col min="17" max="17" width="13.69921875" style="20" customWidth="1"/>
    <col min="18" max="18" width="13.69921875" style="20" customWidth="1" outlineLevel="1"/>
    <col min="19" max="19" width="13.69921875" style="20" customWidth="1"/>
    <col min="20" max="20" width="13.69921875" style="20" customWidth="1" outlineLevel="1"/>
    <col min="21" max="21" width="13.69921875" style="20" customWidth="1"/>
    <col min="22" max="22" width="13.69921875" style="20" customWidth="1" outlineLevel="1"/>
    <col min="23" max="23" width="15.69921875" style="20" customWidth="1"/>
    <col min="24" max="24" width="30.69921875" style="20" customWidth="1"/>
    <col min="25" max="29" width="15.69921875" style="20" customWidth="1"/>
    <col min="30" max="16384" width="8.796875" style="20"/>
  </cols>
  <sheetData>
    <row r="1" spans="2:29" ht="19.95" customHeight="1" x14ac:dyDescent="0.3">
      <c r="B1" s="116" t="s">
        <v>5</v>
      </c>
      <c r="C1" s="66"/>
      <c r="D1" s="66"/>
      <c r="E1" s="66"/>
      <c r="F1" s="66"/>
      <c r="U1" s="66"/>
      <c r="V1" s="66"/>
      <c r="W1" s="66"/>
      <c r="X1" s="66"/>
      <c r="Y1" s="66"/>
      <c r="Z1" s="66"/>
      <c r="AA1" s="66"/>
      <c r="AB1" s="66"/>
      <c r="AC1" s="66"/>
    </row>
    <row r="2" spans="2:29" s="30" customFormat="1" ht="30" customHeight="1" x14ac:dyDescent="0.3">
      <c r="B2" s="89" t="s">
        <v>1</v>
      </c>
      <c r="C2" s="90" t="s">
        <v>249</v>
      </c>
      <c r="D2" s="90" t="s">
        <v>349</v>
      </c>
      <c r="E2" s="90" t="s">
        <v>242</v>
      </c>
      <c r="F2" s="91" t="s">
        <v>243</v>
      </c>
      <c r="G2" s="68" t="s">
        <v>95</v>
      </c>
      <c r="H2" s="69"/>
      <c r="I2" s="70" t="s">
        <v>91</v>
      </c>
      <c r="J2" s="71"/>
      <c r="K2" s="72" t="s">
        <v>93</v>
      </c>
      <c r="L2" s="73"/>
      <c r="M2" s="92" t="s">
        <v>92</v>
      </c>
      <c r="N2" s="93"/>
      <c r="O2" s="94" t="s">
        <v>94</v>
      </c>
      <c r="P2" s="95"/>
      <c r="Q2" s="96" t="s">
        <v>89</v>
      </c>
      <c r="R2" s="97"/>
      <c r="S2" s="98" t="s">
        <v>90</v>
      </c>
      <c r="T2" s="99"/>
      <c r="U2" s="70" t="s">
        <v>248</v>
      </c>
      <c r="V2" s="71"/>
      <c r="W2" s="89" t="s">
        <v>96</v>
      </c>
      <c r="X2" s="90" t="s">
        <v>3</v>
      </c>
      <c r="Y2" s="90" t="s">
        <v>97</v>
      </c>
      <c r="Z2" s="90" t="s">
        <v>238</v>
      </c>
      <c r="AA2" s="90" t="s">
        <v>239</v>
      </c>
      <c r="AB2" s="90" t="s">
        <v>240</v>
      </c>
      <c r="AC2" s="91" t="s">
        <v>359</v>
      </c>
    </row>
    <row r="3" spans="2:29" s="30" customFormat="1" ht="30" customHeight="1" x14ac:dyDescent="0.3">
      <c r="B3" s="100"/>
      <c r="C3" s="101"/>
      <c r="D3" s="101"/>
      <c r="E3" s="101"/>
      <c r="F3" s="102"/>
      <c r="G3" s="103" t="s">
        <v>87</v>
      </c>
      <c r="H3" s="104" t="s">
        <v>88</v>
      </c>
      <c r="I3" s="105" t="s">
        <v>87</v>
      </c>
      <c r="J3" s="106" t="s">
        <v>88</v>
      </c>
      <c r="K3" s="74" t="s">
        <v>87</v>
      </c>
      <c r="L3" s="107" t="s">
        <v>88</v>
      </c>
      <c r="M3" s="108" t="s">
        <v>87</v>
      </c>
      <c r="N3" s="109" t="s">
        <v>88</v>
      </c>
      <c r="O3" s="110" t="s">
        <v>87</v>
      </c>
      <c r="P3" s="111" t="s">
        <v>88</v>
      </c>
      <c r="Q3" s="112" t="s">
        <v>87</v>
      </c>
      <c r="R3" s="113" t="s">
        <v>88</v>
      </c>
      <c r="S3" s="114" t="s">
        <v>87</v>
      </c>
      <c r="T3" s="115" t="s">
        <v>88</v>
      </c>
      <c r="U3" s="75" t="s">
        <v>87</v>
      </c>
      <c r="V3" s="106" t="s">
        <v>88</v>
      </c>
      <c r="W3" s="100"/>
      <c r="X3" s="101"/>
      <c r="Y3" s="101"/>
      <c r="Z3" s="101"/>
      <c r="AA3" s="101"/>
      <c r="AB3" s="101"/>
      <c r="AC3" s="102"/>
    </row>
    <row r="4" spans="2:29" ht="19.95" customHeight="1" x14ac:dyDescent="0.3">
      <c r="B4" s="64" t="str">
        <f>Şablon!E3</f>
        <v>IHL.3028.001/1</v>
      </c>
      <c r="C4" s="76" t="str">
        <f>VLOOKUP($B4,Şablon!$E$3:$Q$255,2,FALSE)</f>
        <v>09.01.00 YIKIM İŞLERİ</v>
      </c>
      <c r="D4" s="87"/>
      <c r="E4" s="76" t="str">
        <f>VLOOKUP($B4,Şablon!$E$3:$Q$255,3,FALSE)</f>
        <v>B KATEGORİ</v>
      </c>
      <c r="F4" s="77" t="str">
        <f>VLOOKUP($B4,Şablon!$E$3:$Q$255,4,FALSE)</f>
        <v>İNŞ</v>
      </c>
      <c r="G4" s="78">
        <f>I4-VLOOKUP($B4,Şablon!$E$3:$Q$255,5,FALSE)</f>
        <v>-56</v>
      </c>
      <c r="H4" s="55"/>
      <c r="I4" s="78">
        <f>K4-VLOOKUP($B4,Şablon!$E$3:$Q$255,6,FALSE)</f>
        <v>-56</v>
      </c>
      <c r="J4" s="55"/>
      <c r="K4" s="78">
        <f>M4-VLOOKUP($B4,Şablon!$E$3:$Q$255,7,FALSE)</f>
        <v>-42</v>
      </c>
      <c r="L4" s="55"/>
      <c r="M4" s="78">
        <f>O4-VLOOKUP($B4,Şablon!$E$3:$Q$255,8,FALSE)</f>
        <v>-35</v>
      </c>
      <c r="N4" s="55"/>
      <c r="O4" s="78">
        <f>Q4-VLOOKUP($B4,Şablon!$E$3:$Q$255,9,FALSE)</f>
        <v>-21</v>
      </c>
      <c r="P4" s="55"/>
      <c r="Q4" s="78">
        <f>S4-VLOOKUP($B4,Şablon!$E$3:$Q$255,10,FALSE)</f>
        <v>-14</v>
      </c>
      <c r="R4" s="55"/>
      <c r="S4" s="78">
        <f>U4-(VLOOKUP($B4,Şablon!$E$3:$Q$255,11,FALSE)+VLOOKUP($B4,Şablon!$E$3:$Q$255,12,FALSE))</f>
        <v>-7</v>
      </c>
      <c r="T4" s="55"/>
      <c r="U4" s="57"/>
      <c r="V4" s="55"/>
      <c r="W4" s="59"/>
      <c r="X4" s="60"/>
      <c r="Y4" s="60"/>
      <c r="Z4" s="60"/>
      <c r="AA4" s="60"/>
      <c r="AB4" s="60"/>
      <c r="AC4" s="136"/>
    </row>
    <row r="5" spans="2:29" ht="19.95" customHeight="1" x14ac:dyDescent="0.3">
      <c r="B5" s="64" t="str">
        <f>Şablon!E4</f>
        <v>IHL.3028.002/1</v>
      </c>
      <c r="C5" s="76" t="str">
        <f>VLOOKUP($B5,Şablon!$E$3:$Q$255,2,FALSE)</f>
        <v>05.03.00 ZEMİN ETÜDÜ</v>
      </c>
      <c r="D5" s="87"/>
      <c r="E5" s="76" t="str">
        <f>VLOOKUP($B5,Şablon!$E$3:$Q$255,3,FALSE)</f>
        <v>C KATEGORİ</v>
      </c>
      <c r="F5" s="77" t="str">
        <f>VLOOKUP($B5,Şablon!$E$3:$Q$255,4,FALSE)</f>
        <v>İNŞ</v>
      </c>
      <c r="G5" s="78">
        <f>I5-VLOOKUP($B5,Şablon!$E$3:$Q$255,5,FALSE)</f>
        <v>-56</v>
      </c>
      <c r="H5" s="55"/>
      <c r="I5" s="78">
        <f>K5-VLOOKUP($B5,Şablon!$E$3:$Q$255,6,FALSE)</f>
        <v>-56</v>
      </c>
      <c r="J5" s="55"/>
      <c r="K5" s="78">
        <f>M5-VLOOKUP($B5,Şablon!$E$3:$Q$255,7,FALSE)</f>
        <v>-42</v>
      </c>
      <c r="L5" s="55"/>
      <c r="M5" s="78">
        <f>O5-VLOOKUP($B5,Şablon!$E$3:$Q$255,8,FALSE)</f>
        <v>-35</v>
      </c>
      <c r="N5" s="55"/>
      <c r="O5" s="78">
        <f>Q5-VLOOKUP($B5,Şablon!$E$3:$Q$255,9,FALSE)</f>
        <v>-21</v>
      </c>
      <c r="P5" s="55"/>
      <c r="Q5" s="78">
        <f>S5-VLOOKUP($B5,Şablon!$E$3:$Q$255,10,FALSE)</f>
        <v>-14</v>
      </c>
      <c r="R5" s="55"/>
      <c r="S5" s="78">
        <f>U5-(VLOOKUP($B5,Şablon!$E$3:$Q$255,11,FALSE)+VLOOKUP($B5,Şablon!$E$3:$Q$255,12,FALSE))</f>
        <v>-7</v>
      </c>
      <c r="T5" s="55"/>
      <c r="U5" s="57"/>
      <c r="V5" s="55"/>
      <c r="W5" s="59"/>
      <c r="X5" s="60"/>
      <c r="Y5" s="60"/>
      <c r="Z5" s="60"/>
      <c r="AA5" s="60"/>
      <c r="AB5" s="60"/>
      <c r="AC5" s="136"/>
    </row>
    <row r="6" spans="2:29" ht="19.95" customHeight="1" x14ac:dyDescent="0.3">
      <c r="B6" s="64" t="str">
        <f>Şablon!E5</f>
        <v>IHL.3028.003/1</v>
      </c>
      <c r="C6" s="76" t="str">
        <f>VLOOKUP($B6,Şablon!$E$3:$Q$255,2,FALSE)</f>
        <v>01.18.00 OSGB İŞLERİ</v>
      </c>
      <c r="D6" s="87"/>
      <c r="E6" s="76" t="str">
        <f>VLOOKUP($B6,Şablon!$E$3:$Q$255,3,FALSE)</f>
        <v>C KATEGORİ</v>
      </c>
      <c r="F6" s="77" t="str">
        <f>VLOOKUP($B6,Şablon!$E$3:$Q$255,4,FALSE)</f>
        <v>İNŞ</v>
      </c>
      <c r="G6" s="78">
        <f>I6-VLOOKUP($B6,Şablon!$E$3:$Q$255,5,FALSE)</f>
        <v>-56</v>
      </c>
      <c r="H6" s="55"/>
      <c r="I6" s="78">
        <f>K6-VLOOKUP($B6,Şablon!$E$3:$Q$255,6,FALSE)</f>
        <v>-56</v>
      </c>
      <c r="J6" s="55"/>
      <c r="K6" s="78">
        <f>M6-VLOOKUP($B6,Şablon!$E$3:$Q$255,7,FALSE)</f>
        <v>-42</v>
      </c>
      <c r="L6" s="55"/>
      <c r="M6" s="78">
        <f>O6-VLOOKUP($B6,Şablon!$E$3:$Q$255,8,FALSE)</f>
        <v>-35</v>
      </c>
      <c r="N6" s="55"/>
      <c r="O6" s="78">
        <f>Q6-VLOOKUP($B6,Şablon!$E$3:$Q$255,9,FALSE)</f>
        <v>-21</v>
      </c>
      <c r="P6" s="55"/>
      <c r="Q6" s="78">
        <f>S6-VLOOKUP($B6,Şablon!$E$3:$Q$255,10,FALSE)</f>
        <v>-14</v>
      </c>
      <c r="R6" s="55"/>
      <c r="S6" s="78">
        <f>U6-(VLOOKUP($B6,Şablon!$E$3:$Q$255,11,FALSE)+VLOOKUP($B6,Şablon!$E$3:$Q$255,12,FALSE))</f>
        <v>-7</v>
      </c>
      <c r="T6" s="55"/>
      <c r="U6" s="57"/>
      <c r="V6" s="55"/>
      <c r="W6" s="59"/>
      <c r="X6" s="60"/>
      <c r="Y6" s="60"/>
      <c r="Z6" s="60"/>
      <c r="AA6" s="60"/>
      <c r="AB6" s="60"/>
      <c r="AC6" s="136"/>
    </row>
    <row r="7" spans="2:29" ht="19.95" customHeight="1" x14ac:dyDescent="0.3">
      <c r="B7" s="64" t="str">
        <f>Şablon!E6</f>
        <v>IHL.3028.004/1</v>
      </c>
      <c r="C7" s="76" t="str">
        <f>VLOOKUP($B7,Şablon!$E$3:$Q$255,2,FALSE)</f>
        <v>07.01.00 MOBİLİZASYON İŞLERİ</v>
      </c>
      <c r="D7" s="87"/>
      <c r="E7" s="76" t="str">
        <f>VLOOKUP($B7,Şablon!$E$3:$Q$255,3,FALSE)</f>
        <v>C KATEGORİ</v>
      </c>
      <c r="F7" s="77" t="str">
        <f>VLOOKUP($B7,Şablon!$E$3:$Q$255,4,FALSE)</f>
        <v>İNŞ</v>
      </c>
      <c r="G7" s="78">
        <f>I7-VLOOKUP($B7,Şablon!$E$3:$Q$255,5,FALSE)</f>
        <v>-105</v>
      </c>
      <c r="H7" s="55"/>
      <c r="I7" s="78">
        <f>K7-VLOOKUP($B7,Şablon!$E$3:$Q$255,6,FALSE)</f>
        <v>-105</v>
      </c>
      <c r="J7" s="55"/>
      <c r="K7" s="78">
        <f>M7-VLOOKUP($B7,Şablon!$E$3:$Q$255,7,FALSE)</f>
        <v>-91</v>
      </c>
      <c r="L7" s="55"/>
      <c r="M7" s="78">
        <f>O7-VLOOKUP($B7,Şablon!$E$3:$Q$255,8,FALSE)</f>
        <v>-84</v>
      </c>
      <c r="N7" s="55"/>
      <c r="O7" s="78">
        <f>Q7-VLOOKUP($B7,Şablon!$E$3:$Q$255,9,FALSE)</f>
        <v>-56</v>
      </c>
      <c r="P7" s="55"/>
      <c r="Q7" s="78">
        <f>S7-VLOOKUP($B7,Şablon!$E$3:$Q$255,10,FALSE)</f>
        <v>-49</v>
      </c>
      <c r="R7" s="55"/>
      <c r="S7" s="78">
        <f>U7-(VLOOKUP($B7,Şablon!$E$3:$Q$255,11,FALSE)+VLOOKUP($B7,Şablon!$E$3:$Q$255,12,FALSE))</f>
        <v>-35</v>
      </c>
      <c r="T7" s="55"/>
      <c r="U7" s="57"/>
      <c r="V7" s="55"/>
      <c r="W7" s="59"/>
      <c r="X7" s="60"/>
      <c r="Y7" s="60"/>
      <c r="Z7" s="60"/>
      <c r="AA7" s="60"/>
      <c r="AB7" s="60"/>
      <c r="AC7" s="136"/>
    </row>
    <row r="8" spans="2:29" ht="19.95" customHeight="1" x14ac:dyDescent="0.3">
      <c r="B8" s="64" t="str">
        <f>Şablon!E7</f>
        <v>IHL.3028.005/1</v>
      </c>
      <c r="C8" s="76" t="str">
        <f>VLOOKUP($B8,Şablon!$E$3:$Q$255,2,FALSE)</f>
        <v>11.03.00 ZEMİN İYİLEŞTİRME TEST YAPILMASI</v>
      </c>
      <c r="D8" s="87"/>
      <c r="E8" s="76" t="str">
        <f>VLOOKUP($B8,Şablon!$E$3:$Q$255,3,FALSE)</f>
        <v>C KATEGORİ</v>
      </c>
      <c r="F8" s="77" t="str">
        <f>VLOOKUP($B8,Şablon!$E$3:$Q$255,4,FALSE)</f>
        <v>İNŞ</v>
      </c>
      <c r="G8" s="78">
        <f>I8-VLOOKUP($B8,Şablon!$E$3:$Q$255,5,FALSE)</f>
        <v>-98</v>
      </c>
      <c r="H8" s="55"/>
      <c r="I8" s="78">
        <f>K8-VLOOKUP($B8,Şablon!$E$3:$Q$255,6,FALSE)</f>
        <v>-98</v>
      </c>
      <c r="J8" s="55"/>
      <c r="K8" s="78">
        <f>M8-VLOOKUP($B8,Şablon!$E$3:$Q$255,7,FALSE)</f>
        <v>-84</v>
      </c>
      <c r="L8" s="55"/>
      <c r="M8" s="78">
        <f>O8-VLOOKUP($B8,Şablon!$E$3:$Q$255,8,FALSE)</f>
        <v>-77</v>
      </c>
      <c r="N8" s="55"/>
      <c r="O8" s="78">
        <f>Q8-VLOOKUP($B8,Şablon!$E$3:$Q$255,9,FALSE)</f>
        <v>-49</v>
      </c>
      <c r="P8" s="55"/>
      <c r="Q8" s="78">
        <f>S8-VLOOKUP($B8,Şablon!$E$3:$Q$255,10,FALSE)</f>
        <v>-42</v>
      </c>
      <c r="R8" s="55"/>
      <c r="S8" s="78">
        <f>U8-(VLOOKUP($B8,Şablon!$E$3:$Q$255,11,FALSE)+VLOOKUP($B8,Şablon!$E$3:$Q$255,12,FALSE))</f>
        <v>-28</v>
      </c>
      <c r="T8" s="55"/>
      <c r="U8" s="57"/>
      <c r="V8" s="55"/>
      <c r="W8" s="59"/>
      <c r="X8" s="60"/>
      <c r="Y8" s="60"/>
      <c r="Z8" s="60"/>
      <c r="AA8" s="60"/>
      <c r="AB8" s="60"/>
      <c r="AC8" s="136"/>
    </row>
    <row r="9" spans="2:29" ht="19.95" customHeight="1" x14ac:dyDescent="0.3">
      <c r="B9" s="64" t="str">
        <f>Şablon!E8</f>
        <v>IHL.3028.006/1</v>
      </c>
      <c r="C9" s="76" t="str">
        <f>VLOOKUP($B9,Şablon!$E$3:$Q$255,2,FALSE)</f>
        <v>11.01.00 İKSA İŞLERİ</v>
      </c>
      <c r="D9" s="87"/>
      <c r="E9" s="76" t="str">
        <f>VLOOKUP($B9,Şablon!$E$3:$Q$255,3,FALSE)</f>
        <v>A KATEGORİ</v>
      </c>
      <c r="F9" s="77" t="str">
        <f>VLOOKUP($B9,Şablon!$E$3:$Q$255,4,FALSE)</f>
        <v>İNŞ</v>
      </c>
      <c r="G9" s="78">
        <f>I9-VLOOKUP($B9,Şablon!$E$3:$Q$255,5,FALSE)</f>
        <v>-94</v>
      </c>
      <c r="H9" s="55"/>
      <c r="I9" s="78">
        <f>K9-VLOOKUP($B9,Şablon!$E$3:$Q$255,6,FALSE)</f>
        <v>-94</v>
      </c>
      <c r="J9" s="55"/>
      <c r="K9" s="78">
        <f>M9-VLOOKUP($B9,Şablon!$E$3:$Q$255,7,FALSE)</f>
        <v>-80</v>
      </c>
      <c r="L9" s="55"/>
      <c r="M9" s="78">
        <f>O9-VLOOKUP($B9,Şablon!$E$3:$Q$255,8,FALSE)</f>
        <v>-66</v>
      </c>
      <c r="N9" s="55"/>
      <c r="O9" s="78">
        <f>Q9-VLOOKUP($B9,Şablon!$E$3:$Q$255,9,FALSE)</f>
        <v>-38</v>
      </c>
      <c r="P9" s="55"/>
      <c r="Q9" s="78">
        <f>S9-VLOOKUP($B9,Şablon!$E$3:$Q$255,10,FALSE)</f>
        <v>-28</v>
      </c>
      <c r="R9" s="55"/>
      <c r="S9" s="78">
        <f>U9-(VLOOKUP($B9,Şablon!$E$3:$Q$255,11,FALSE)+VLOOKUP($B9,Şablon!$E$3:$Q$255,12,FALSE))</f>
        <v>-14</v>
      </c>
      <c r="T9" s="55"/>
      <c r="U9" s="57"/>
      <c r="V9" s="55"/>
      <c r="W9" s="59"/>
      <c r="X9" s="60"/>
      <c r="Y9" s="60"/>
      <c r="Z9" s="60"/>
      <c r="AA9" s="60"/>
      <c r="AB9" s="60"/>
      <c r="AC9" s="136"/>
    </row>
    <row r="10" spans="2:29" ht="19.95" customHeight="1" x14ac:dyDescent="0.3">
      <c r="B10" s="64" t="str">
        <f>Şablon!E9</f>
        <v>IHL.3028.007/1</v>
      </c>
      <c r="C10" s="76" t="str">
        <f>VLOOKUP($B10,Şablon!$E$3:$Q$255,2,FALSE)</f>
        <v>11.00.00 (M) DÖKME ÇİMENTO MALZEME</v>
      </c>
      <c r="D10" s="87"/>
      <c r="E10" s="76" t="str">
        <f>VLOOKUP($B10,Şablon!$E$3:$Q$255,3,FALSE)</f>
        <v>B KATEGORİ</v>
      </c>
      <c r="F10" s="77" t="str">
        <f>VLOOKUP($B10,Şablon!$E$3:$Q$255,4,FALSE)</f>
        <v>İNŞ</v>
      </c>
      <c r="G10" s="78">
        <f>I10-VLOOKUP($B10,Şablon!$E$3:$Q$255,5,FALSE)</f>
        <v>-70</v>
      </c>
      <c r="H10" s="55"/>
      <c r="I10" s="78">
        <f>K10-VLOOKUP($B10,Şablon!$E$3:$Q$255,6,FALSE)</f>
        <v>-70</v>
      </c>
      <c r="J10" s="55"/>
      <c r="K10" s="78">
        <f>M10-VLOOKUP($B10,Şablon!$E$3:$Q$255,7,FALSE)</f>
        <v>-56</v>
      </c>
      <c r="L10" s="55"/>
      <c r="M10" s="78">
        <f>O10-VLOOKUP($B10,Şablon!$E$3:$Q$255,8,FALSE)</f>
        <v>-49</v>
      </c>
      <c r="N10" s="55"/>
      <c r="O10" s="78">
        <f>Q10-VLOOKUP($B10,Şablon!$E$3:$Q$255,9,FALSE)</f>
        <v>-28</v>
      </c>
      <c r="P10" s="55"/>
      <c r="Q10" s="78">
        <f>S10-VLOOKUP($B10,Şablon!$E$3:$Q$255,10,FALSE)</f>
        <v>-21</v>
      </c>
      <c r="R10" s="55"/>
      <c r="S10" s="78">
        <f>U10-(VLOOKUP($B10,Şablon!$E$3:$Q$255,11,FALSE)+VLOOKUP($B10,Şablon!$E$3:$Q$255,12,FALSE))</f>
        <v>-7</v>
      </c>
      <c r="T10" s="55"/>
      <c r="U10" s="57"/>
      <c r="V10" s="55"/>
      <c r="W10" s="59"/>
      <c r="X10" s="60"/>
      <c r="Y10" s="60"/>
      <c r="Z10" s="60"/>
      <c r="AA10" s="60"/>
      <c r="AB10" s="60"/>
      <c r="AC10" s="136"/>
    </row>
    <row r="11" spans="2:29" ht="19.95" customHeight="1" x14ac:dyDescent="0.3">
      <c r="B11" s="64" t="str">
        <f>Şablon!E10</f>
        <v>IHL.3028.008/1</v>
      </c>
      <c r="C11" s="76" t="str">
        <f>VLOOKUP($B11,Şablon!$E$3:$Q$255,2,FALSE)</f>
        <v>13.01.00 (M) HAZIR BETON MALZEME</v>
      </c>
      <c r="D11" s="87"/>
      <c r="E11" s="76" t="str">
        <f>VLOOKUP($B11,Şablon!$E$3:$Q$255,3,FALSE)</f>
        <v>B KATEGORİ</v>
      </c>
      <c r="F11" s="77" t="str">
        <f>VLOOKUP($B11,Şablon!$E$3:$Q$255,4,FALSE)</f>
        <v>İNŞ</v>
      </c>
      <c r="G11" s="78">
        <f>I11-VLOOKUP($B11,Şablon!$E$3:$Q$255,5,FALSE)</f>
        <v>-70</v>
      </c>
      <c r="H11" s="55"/>
      <c r="I11" s="78">
        <f>K11-VLOOKUP($B11,Şablon!$E$3:$Q$255,6,FALSE)</f>
        <v>-70</v>
      </c>
      <c r="J11" s="55"/>
      <c r="K11" s="78">
        <f>M11-VLOOKUP($B11,Şablon!$E$3:$Q$255,7,FALSE)</f>
        <v>-56</v>
      </c>
      <c r="L11" s="55"/>
      <c r="M11" s="78">
        <f>O11-VLOOKUP($B11,Şablon!$E$3:$Q$255,8,FALSE)</f>
        <v>-49</v>
      </c>
      <c r="N11" s="55"/>
      <c r="O11" s="78">
        <f>Q11-VLOOKUP($B11,Şablon!$E$3:$Q$255,9,FALSE)</f>
        <v>-28</v>
      </c>
      <c r="P11" s="55"/>
      <c r="Q11" s="78">
        <f>S11-VLOOKUP($B11,Şablon!$E$3:$Q$255,10,FALSE)</f>
        <v>-21</v>
      </c>
      <c r="R11" s="55"/>
      <c r="S11" s="78">
        <f>U11-(VLOOKUP($B11,Şablon!$E$3:$Q$255,11,FALSE)+VLOOKUP($B11,Şablon!$E$3:$Q$255,12,FALSE))</f>
        <v>-7</v>
      </c>
      <c r="T11" s="55"/>
      <c r="U11" s="57"/>
      <c r="V11" s="55"/>
      <c r="W11" s="59"/>
      <c r="X11" s="60"/>
      <c r="Y11" s="60"/>
      <c r="Z11" s="60"/>
      <c r="AA11" s="60"/>
      <c r="AB11" s="60"/>
      <c r="AC11" s="136"/>
    </row>
    <row r="12" spans="2:29" ht="19.95" customHeight="1" x14ac:dyDescent="0.3">
      <c r="B12" s="64" t="str">
        <f>Şablon!E11</f>
        <v>IHL.3028.009/1</v>
      </c>
      <c r="C12" s="76" t="str">
        <f>VLOOKUP($B12,Şablon!$E$3:$Q$255,2,FALSE)</f>
        <v>09.02.00 HAFRİYAT</v>
      </c>
      <c r="D12" s="87"/>
      <c r="E12" s="76" t="str">
        <f>VLOOKUP($B12,Şablon!$E$3:$Q$255,3,FALSE)</f>
        <v>A KATEGORİ</v>
      </c>
      <c r="F12" s="77" t="str">
        <f>VLOOKUP($B12,Şablon!$E$3:$Q$255,4,FALSE)</f>
        <v>İNŞ</v>
      </c>
      <c r="G12" s="78">
        <f>I12-VLOOKUP($B12,Şablon!$E$3:$Q$255,5,FALSE)</f>
        <v>-87</v>
      </c>
      <c r="H12" s="55"/>
      <c r="I12" s="78">
        <f>K12-VLOOKUP($B12,Şablon!$E$3:$Q$255,6,FALSE)</f>
        <v>-87</v>
      </c>
      <c r="J12" s="55"/>
      <c r="K12" s="78">
        <f>M12-VLOOKUP($B12,Şablon!$E$3:$Q$255,7,FALSE)</f>
        <v>-73</v>
      </c>
      <c r="L12" s="55"/>
      <c r="M12" s="78">
        <f>O12-VLOOKUP($B12,Şablon!$E$3:$Q$255,8,FALSE)</f>
        <v>-59</v>
      </c>
      <c r="N12" s="55"/>
      <c r="O12" s="78">
        <f>Q12-VLOOKUP($B12,Şablon!$E$3:$Q$255,9,FALSE)</f>
        <v>-31</v>
      </c>
      <c r="P12" s="55"/>
      <c r="Q12" s="78">
        <f>S12-VLOOKUP($B12,Şablon!$E$3:$Q$255,10,FALSE)</f>
        <v>-21</v>
      </c>
      <c r="R12" s="55"/>
      <c r="S12" s="78">
        <f>U12-(VLOOKUP($B12,Şablon!$E$3:$Q$255,11,FALSE)+VLOOKUP($B12,Şablon!$E$3:$Q$255,12,FALSE))</f>
        <v>-7</v>
      </c>
      <c r="T12" s="55"/>
      <c r="U12" s="57"/>
      <c r="V12" s="55"/>
      <c r="W12" s="59"/>
      <c r="X12" s="60"/>
      <c r="Y12" s="60"/>
      <c r="Z12" s="60"/>
      <c r="AA12" s="60"/>
      <c r="AB12" s="60"/>
      <c r="AC12" s="136"/>
    </row>
    <row r="13" spans="2:29" ht="19.95" customHeight="1" x14ac:dyDescent="0.3">
      <c r="B13" s="64" t="str">
        <f>Şablon!E12</f>
        <v>IHL.3028.010/1</v>
      </c>
      <c r="C13" s="76" t="str">
        <f>VLOOKUP($B13,Şablon!$E$3:$Q$255,2,FALSE)</f>
        <v>11.02.00 ZEMİN İYİLEŞTİRME</v>
      </c>
      <c r="D13" s="87"/>
      <c r="E13" s="76" t="str">
        <f>VLOOKUP($B13,Şablon!$E$3:$Q$255,3,FALSE)</f>
        <v>A KATEGORİ</v>
      </c>
      <c r="F13" s="77" t="str">
        <f>VLOOKUP($B13,Şablon!$E$3:$Q$255,4,FALSE)</f>
        <v>İNŞ</v>
      </c>
      <c r="G13" s="78">
        <f>I13-VLOOKUP($B13,Şablon!$E$3:$Q$255,5,FALSE)</f>
        <v>-94</v>
      </c>
      <c r="H13" s="55"/>
      <c r="I13" s="78">
        <f>K13-VLOOKUP($B13,Şablon!$E$3:$Q$255,6,FALSE)</f>
        <v>-94</v>
      </c>
      <c r="J13" s="55"/>
      <c r="K13" s="78">
        <f>M13-VLOOKUP($B13,Şablon!$E$3:$Q$255,7,FALSE)</f>
        <v>-80</v>
      </c>
      <c r="L13" s="55"/>
      <c r="M13" s="78">
        <f>O13-VLOOKUP($B13,Şablon!$E$3:$Q$255,8,FALSE)</f>
        <v>-66</v>
      </c>
      <c r="N13" s="55"/>
      <c r="O13" s="78">
        <f>Q13-VLOOKUP($B13,Şablon!$E$3:$Q$255,9,FALSE)</f>
        <v>-38</v>
      </c>
      <c r="P13" s="55"/>
      <c r="Q13" s="78">
        <f>S13-VLOOKUP($B13,Şablon!$E$3:$Q$255,10,FALSE)</f>
        <v>-28</v>
      </c>
      <c r="R13" s="55"/>
      <c r="S13" s="78">
        <f>U13-(VLOOKUP($B13,Şablon!$E$3:$Q$255,11,FALSE)+VLOOKUP($B13,Şablon!$E$3:$Q$255,12,FALSE))</f>
        <v>-14</v>
      </c>
      <c r="T13" s="55"/>
      <c r="U13" s="121"/>
      <c r="V13" s="55"/>
      <c r="W13" s="59"/>
      <c r="X13" s="60"/>
      <c r="Y13" s="60"/>
      <c r="Z13" s="60"/>
      <c r="AA13" s="60"/>
      <c r="AB13" s="60"/>
      <c r="AC13" s="136"/>
    </row>
    <row r="14" spans="2:29" ht="19.95" customHeight="1" x14ac:dyDescent="0.3">
      <c r="B14" s="64" t="str">
        <f>Şablon!E13</f>
        <v>IHL.3028.011/1</v>
      </c>
      <c r="C14" s="76" t="str">
        <f>VLOOKUP($B14,Şablon!$E$3:$Q$255,2,FALSE)</f>
        <v>11.00.00 KAZIK BAŞI KIRIM İŞLERİ</v>
      </c>
      <c r="D14" s="87"/>
      <c r="E14" s="76" t="str">
        <f>VLOOKUP($B14,Şablon!$E$3:$Q$255,3,FALSE)</f>
        <v>B KATEGORİ</v>
      </c>
      <c r="F14" s="77" t="str">
        <f>VLOOKUP($B14,Şablon!$E$3:$Q$255,4,FALSE)</f>
        <v>İNŞ</v>
      </c>
      <c r="G14" s="78">
        <f>I14-VLOOKUP($B14,Şablon!$E$3:$Q$255,5,FALSE)</f>
        <v>-56</v>
      </c>
      <c r="H14" s="55"/>
      <c r="I14" s="78">
        <f>K14-VLOOKUP($B14,Şablon!$E$3:$Q$255,6,FALSE)</f>
        <v>-56</v>
      </c>
      <c r="J14" s="55"/>
      <c r="K14" s="78">
        <f>M14-VLOOKUP($B14,Şablon!$E$3:$Q$255,7,FALSE)</f>
        <v>-42</v>
      </c>
      <c r="L14" s="55"/>
      <c r="M14" s="78">
        <f>O14-VLOOKUP($B14,Şablon!$E$3:$Q$255,8,FALSE)</f>
        <v>-35</v>
      </c>
      <c r="N14" s="55"/>
      <c r="O14" s="78">
        <f>Q14-VLOOKUP($B14,Şablon!$E$3:$Q$255,9,FALSE)</f>
        <v>-21</v>
      </c>
      <c r="P14" s="55"/>
      <c r="Q14" s="78">
        <f>S14-VLOOKUP($B14,Şablon!$E$3:$Q$255,10,FALSE)</f>
        <v>-14</v>
      </c>
      <c r="R14" s="55"/>
      <c r="S14" s="78">
        <f>U14-(VLOOKUP($B14,Şablon!$E$3:$Q$255,11,FALSE)+VLOOKUP($B14,Şablon!$E$3:$Q$255,12,FALSE))</f>
        <v>-7</v>
      </c>
      <c r="T14" s="55"/>
      <c r="U14" s="57"/>
      <c r="V14" s="55"/>
      <c r="W14" s="59"/>
      <c r="X14" s="61"/>
      <c r="Y14" s="60"/>
      <c r="Z14" s="60"/>
      <c r="AA14" s="60"/>
      <c r="AB14" s="60"/>
      <c r="AC14" s="136"/>
    </row>
    <row r="15" spans="2:29" ht="19.95" customHeight="1" x14ac:dyDescent="0.3">
      <c r="B15" s="64" t="str">
        <f>Şablon!E14</f>
        <v>IHL.3028.012/1</v>
      </c>
      <c r="C15" s="76" t="str">
        <f>VLOOKUP($B15,Şablon!$E$3:$Q$255,2,FALSE)</f>
        <v>23.01.00 TEMEL ALTI YALITIM</v>
      </c>
      <c r="D15" s="87"/>
      <c r="E15" s="76" t="str">
        <f>VLOOKUP($B15,Şablon!$E$3:$Q$255,3,FALSE)</f>
        <v>A KATEGORİ</v>
      </c>
      <c r="F15" s="77" t="str">
        <f>VLOOKUP($B15,Şablon!$E$3:$Q$255,4,FALSE)</f>
        <v>İNŞ</v>
      </c>
      <c r="G15" s="78">
        <f>I15-VLOOKUP($B15,Şablon!$E$3:$Q$255,5,FALSE)</f>
        <v>-101</v>
      </c>
      <c r="H15" s="55"/>
      <c r="I15" s="78">
        <f>K15-VLOOKUP($B15,Şablon!$E$3:$Q$255,6,FALSE)</f>
        <v>-101</v>
      </c>
      <c r="J15" s="55"/>
      <c r="K15" s="78">
        <f>M15-VLOOKUP($B15,Şablon!$E$3:$Q$255,7,FALSE)</f>
        <v>-87</v>
      </c>
      <c r="L15" s="55"/>
      <c r="M15" s="78">
        <f>O15-VLOOKUP($B15,Şablon!$E$3:$Q$255,8,FALSE)</f>
        <v>-73</v>
      </c>
      <c r="N15" s="55"/>
      <c r="O15" s="78">
        <f>Q15-VLOOKUP($B15,Şablon!$E$3:$Q$255,9,FALSE)</f>
        <v>-45</v>
      </c>
      <c r="P15" s="55"/>
      <c r="Q15" s="78">
        <f>S15-VLOOKUP($B15,Şablon!$E$3:$Q$255,10,FALSE)</f>
        <v>-35</v>
      </c>
      <c r="R15" s="55"/>
      <c r="S15" s="78">
        <f>U15-(VLOOKUP($B15,Şablon!$E$3:$Q$255,11,FALSE)+VLOOKUP($B15,Şablon!$E$3:$Q$255,12,FALSE))</f>
        <v>-14</v>
      </c>
      <c r="T15" s="55"/>
      <c r="U15" s="57"/>
      <c r="V15" s="55"/>
      <c r="W15" s="59"/>
      <c r="X15" s="61"/>
      <c r="Y15" s="60"/>
      <c r="Z15" s="60"/>
      <c r="AA15" s="60"/>
      <c r="AB15" s="60"/>
      <c r="AC15" s="136"/>
    </row>
    <row r="16" spans="2:29" ht="19.95" customHeight="1" x14ac:dyDescent="0.3">
      <c r="B16" s="64" t="str">
        <f>Şablon!E15</f>
        <v>IHL.3028.013/1</v>
      </c>
      <c r="C16" s="76" t="str">
        <f>VLOOKUP($B16,Şablon!$E$3:$Q$255,2,FALSE)</f>
        <v>01.17.04 MOBİL VİNÇ TEMİNİ</v>
      </c>
      <c r="D16" s="87"/>
      <c r="E16" s="76" t="str">
        <f>VLOOKUP($B16,Şablon!$E$3:$Q$255,3,FALSE)</f>
        <v>B KATEGORİ</v>
      </c>
      <c r="F16" s="77" t="str">
        <f>VLOOKUP($B16,Şablon!$E$3:$Q$255,4,FALSE)</f>
        <v>İNŞ</v>
      </c>
      <c r="G16" s="78">
        <f>I16-VLOOKUP($B16,Şablon!$E$3:$Q$255,5,FALSE)</f>
        <v>-49</v>
      </c>
      <c r="H16" s="55"/>
      <c r="I16" s="78">
        <f>K16-VLOOKUP($B16,Şablon!$E$3:$Q$255,6,FALSE)</f>
        <v>-49</v>
      </c>
      <c r="J16" s="55"/>
      <c r="K16" s="78">
        <f>M16-VLOOKUP($B16,Şablon!$E$3:$Q$255,7,FALSE)</f>
        <v>-35</v>
      </c>
      <c r="L16" s="55"/>
      <c r="M16" s="78">
        <f>O16-VLOOKUP($B16,Şablon!$E$3:$Q$255,8,FALSE)</f>
        <v>-28</v>
      </c>
      <c r="N16" s="55"/>
      <c r="O16" s="78">
        <f>Q16-VLOOKUP($B16,Şablon!$E$3:$Q$255,9,FALSE)</f>
        <v>-21</v>
      </c>
      <c r="P16" s="55"/>
      <c r="Q16" s="78">
        <f>S16-VLOOKUP($B16,Şablon!$E$3:$Q$255,10,FALSE)</f>
        <v>-14</v>
      </c>
      <c r="R16" s="55"/>
      <c r="S16" s="78">
        <f>U16-(VLOOKUP($B16,Şablon!$E$3:$Q$255,11,FALSE)+VLOOKUP($B16,Şablon!$E$3:$Q$255,12,FALSE))</f>
        <v>-7</v>
      </c>
      <c r="T16" s="55"/>
      <c r="U16" s="57"/>
      <c r="V16" s="55"/>
      <c r="W16" s="59"/>
      <c r="X16" s="60"/>
      <c r="Y16" s="60"/>
      <c r="Z16" s="60"/>
      <c r="AA16" s="60"/>
      <c r="AB16" s="60"/>
      <c r="AC16" s="136"/>
    </row>
    <row r="17" spans="2:29" ht="19.95" customHeight="1" x14ac:dyDescent="0.3">
      <c r="B17" s="64" t="str">
        <f>Şablon!E16</f>
        <v>IHL.3028.014/1</v>
      </c>
      <c r="C17" s="76" t="str">
        <f>VLOOKUP($B17,Şablon!$E$3:$Q$255,2,FALSE)</f>
        <v>13.01.00 KABA YAPI İŞLERİ</v>
      </c>
      <c r="D17" s="87"/>
      <c r="E17" s="76" t="str">
        <f>VLOOKUP($B17,Şablon!$E$3:$Q$255,3,FALSE)</f>
        <v>A KATEGORİ</v>
      </c>
      <c r="F17" s="77" t="str">
        <f>VLOOKUP($B17,Şablon!$E$3:$Q$255,4,FALSE)</f>
        <v>İNŞ</v>
      </c>
      <c r="G17" s="78">
        <f>I17-VLOOKUP($B17,Şablon!$E$3:$Q$255,5,FALSE)</f>
        <v>-132</v>
      </c>
      <c r="H17" s="55"/>
      <c r="I17" s="78">
        <f>K17-VLOOKUP($B17,Şablon!$E$3:$Q$255,6,FALSE)</f>
        <v>-132</v>
      </c>
      <c r="J17" s="55"/>
      <c r="K17" s="78">
        <f>M17-VLOOKUP($B17,Şablon!$E$3:$Q$255,7,FALSE)</f>
        <v>-111</v>
      </c>
      <c r="L17" s="55"/>
      <c r="M17" s="78">
        <f>O17-VLOOKUP($B17,Şablon!$E$3:$Q$255,8,FALSE)</f>
        <v>-90</v>
      </c>
      <c r="N17" s="55"/>
      <c r="O17" s="78">
        <f>Q17-VLOOKUP($B17,Şablon!$E$3:$Q$255,9,FALSE)</f>
        <v>-45</v>
      </c>
      <c r="P17" s="55"/>
      <c r="Q17" s="78">
        <f>S17-VLOOKUP($B17,Şablon!$E$3:$Q$255,10,FALSE)</f>
        <v>-35</v>
      </c>
      <c r="R17" s="55"/>
      <c r="S17" s="78">
        <f>U17-(VLOOKUP($B17,Şablon!$E$3:$Q$255,11,FALSE)+VLOOKUP($B17,Şablon!$E$3:$Q$255,12,FALSE))</f>
        <v>-14</v>
      </c>
      <c r="T17" s="55"/>
      <c r="U17" s="57"/>
      <c r="V17" s="55"/>
      <c r="W17" s="59"/>
      <c r="X17" s="60"/>
      <c r="Y17" s="60"/>
      <c r="Z17" s="60"/>
      <c r="AA17" s="60"/>
      <c r="AB17" s="60"/>
      <c r="AC17" s="136"/>
    </row>
    <row r="18" spans="2:29" ht="19.95" customHeight="1" x14ac:dyDescent="0.3">
      <c r="B18" s="64" t="str">
        <f>Şablon!E17</f>
        <v>IHL.3028.015/1</v>
      </c>
      <c r="C18" s="76" t="str">
        <f>VLOOKUP($B18,Şablon!$E$3:$Q$255,2,FALSE)</f>
        <v>13.02.01 ÇELİK ANKRAJ PLAKA İŞLERİ</v>
      </c>
      <c r="D18" s="87"/>
      <c r="E18" s="76" t="str">
        <f>VLOOKUP($B18,Şablon!$E$3:$Q$255,3,FALSE)</f>
        <v>B KATEGORİ</v>
      </c>
      <c r="F18" s="77" t="str">
        <f>VLOOKUP($B18,Şablon!$E$3:$Q$255,4,FALSE)</f>
        <v>İNŞ</v>
      </c>
      <c r="G18" s="78">
        <f>I18-VLOOKUP($B18,Şablon!$E$3:$Q$255,5,FALSE)</f>
        <v>-56</v>
      </c>
      <c r="H18" s="55"/>
      <c r="I18" s="78">
        <f>K18-VLOOKUP($B18,Şablon!$E$3:$Q$255,6,FALSE)</f>
        <v>-56</v>
      </c>
      <c r="J18" s="55"/>
      <c r="K18" s="78">
        <f>M18-VLOOKUP($B18,Şablon!$E$3:$Q$255,7,FALSE)</f>
        <v>-42</v>
      </c>
      <c r="L18" s="55"/>
      <c r="M18" s="78">
        <f>O18-VLOOKUP($B18,Şablon!$E$3:$Q$255,8,FALSE)</f>
        <v>-35</v>
      </c>
      <c r="N18" s="55"/>
      <c r="O18" s="78">
        <f>Q18-VLOOKUP($B18,Şablon!$E$3:$Q$255,9,FALSE)</f>
        <v>-28</v>
      </c>
      <c r="P18" s="55"/>
      <c r="Q18" s="78">
        <f>S18-VLOOKUP($B18,Şablon!$E$3:$Q$255,10,FALSE)</f>
        <v>-21</v>
      </c>
      <c r="R18" s="55"/>
      <c r="S18" s="78">
        <f>U18-(VLOOKUP($B18,Şablon!$E$3:$Q$255,11,FALSE)+VLOOKUP($B18,Şablon!$E$3:$Q$255,12,FALSE))</f>
        <v>-14</v>
      </c>
      <c r="T18" s="55"/>
      <c r="U18" s="57"/>
      <c r="V18" s="55"/>
      <c r="W18" s="59"/>
      <c r="X18" s="60"/>
      <c r="Y18" s="60"/>
      <c r="Z18" s="60"/>
      <c r="AA18" s="60"/>
      <c r="AB18" s="60"/>
      <c r="AC18" s="136"/>
    </row>
    <row r="19" spans="2:29" ht="19.95" customHeight="1" x14ac:dyDescent="0.3">
      <c r="B19" s="64" t="str">
        <f>Şablon!E18</f>
        <v>IHL.3028.016/1</v>
      </c>
      <c r="C19" s="76" t="str">
        <f>VLOOKUP($B19,Şablon!$E$3:$Q$255,2,FALSE)</f>
        <v>01.17.01 KULE VİNÇ KİRALAMA &amp; SERVİS</v>
      </c>
      <c r="D19" s="87"/>
      <c r="E19" s="76" t="str">
        <f>VLOOKUP($B19,Şablon!$E$3:$Q$255,3,FALSE)</f>
        <v>B KATEGORİ</v>
      </c>
      <c r="F19" s="77" t="str">
        <f>VLOOKUP($B19,Şablon!$E$3:$Q$255,4,FALSE)</f>
        <v>İNŞ</v>
      </c>
      <c r="G19" s="78">
        <f>I19-VLOOKUP($B19,Şablon!$E$3:$Q$255,5,FALSE)</f>
        <v>-70</v>
      </c>
      <c r="H19" s="55"/>
      <c r="I19" s="78">
        <f>K19-VLOOKUP($B19,Şablon!$E$3:$Q$255,6,FALSE)</f>
        <v>-70</v>
      </c>
      <c r="J19" s="55"/>
      <c r="K19" s="78">
        <f>M19-VLOOKUP($B19,Şablon!$E$3:$Q$255,7,FALSE)</f>
        <v>-56</v>
      </c>
      <c r="L19" s="55"/>
      <c r="M19" s="78">
        <f>O19-VLOOKUP($B19,Şablon!$E$3:$Q$255,8,FALSE)</f>
        <v>-49</v>
      </c>
      <c r="N19" s="55"/>
      <c r="O19" s="78">
        <f>Q19-VLOOKUP($B19,Şablon!$E$3:$Q$255,9,FALSE)</f>
        <v>-28</v>
      </c>
      <c r="P19" s="55"/>
      <c r="Q19" s="78">
        <f>S19-VLOOKUP($B19,Şablon!$E$3:$Q$255,10,FALSE)</f>
        <v>-21</v>
      </c>
      <c r="R19" s="55"/>
      <c r="S19" s="78">
        <f>U19-(VLOOKUP($B19,Şablon!$E$3:$Q$255,11,FALSE)+VLOOKUP($B19,Şablon!$E$3:$Q$255,12,FALSE))</f>
        <v>-14</v>
      </c>
      <c r="T19" s="55"/>
      <c r="U19" s="57"/>
      <c r="V19" s="55"/>
      <c r="W19" s="59"/>
      <c r="X19" s="60"/>
      <c r="Y19" s="60"/>
      <c r="Z19" s="60"/>
      <c r="AA19" s="60"/>
      <c r="AB19" s="60"/>
      <c r="AC19" s="136"/>
    </row>
    <row r="20" spans="2:29" ht="19.95" customHeight="1" x14ac:dyDescent="0.3">
      <c r="B20" s="64" t="str">
        <f>Şablon!E19</f>
        <v>IHL.3028.017/1</v>
      </c>
      <c r="C20" s="76" t="str">
        <f>VLOOKUP($B20,Şablon!$E$3:$Q$255,2,FALSE)</f>
        <v>01.18.01 GÜVENLİK AĞI TEMİN VE MONTAJ İMALATLARI</v>
      </c>
      <c r="D20" s="87"/>
      <c r="E20" s="76" t="str">
        <f>VLOOKUP($B20,Şablon!$E$3:$Q$255,3,FALSE)</f>
        <v>B KATEGORİ</v>
      </c>
      <c r="F20" s="77" t="str">
        <f>VLOOKUP($B20,Şablon!$E$3:$Q$255,4,FALSE)</f>
        <v>İNŞ</v>
      </c>
      <c r="G20" s="78">
        <f>I20-VLOOKUP($B20,Şablon!$E$3:$Q$255,5,FALSE)</f>
        <v>-63</v>
      </c>
      <c r="H20" s="55"/>
      <c r="I20" s="78">
        <f>K20-VLOOKUP($B20,Şablon!$E$3:$Q$255,6,FALSE)</f>
        <v>-63</v>
      </c>
      <c r="J20" s="55"/>
      <c r="K20" s="78">
        <f>M20-VLOOKUP($B20,Şablon!$E$3:$Q$255,7,FALSE)</f>
        <v>-49</v>
      </c>
      <c r="L20" s="55"/>
      <c r="M20" s="78">
        <f>O20-VLOOKUP($B20,Şablon!$E$3:$Q$255,8,FALSE)</f>
        <v>-42</v>
      </c>
      <c r="N20" s="55"/>
      <c r="O20" s="78">
        <f>Q20-VLOOKUP($B20,Şablon!$E$3:$Q$255,9,FALSE)</f>
        <v>-28</v>
      </c>
      <c r="P20" s="55"/>
      <c r="Q20" s="78">
        <f>S20-VLOOKUP($B20,Şablon!$E$3:$Q$255,10,FALSE)</f>
        <v>-21</v>
      </c>
      <c r="R20" s="55"/>
      <c r="S20" s="78">
        <f>U20-(VLOOKUP($B20,Şablon!$E$3:$Q$255,11,FALSE)+VLOOKUP($B20,Şablon!$E$3:$Q$255,12,FALSE))</f>
        <v>-14</v>
      </c>
      <c r="T20" s="55"/>
      <c r="U20" s="57"/>
      <c r="V20" s="55"/>
      <c r="W20" s="59"/>
      <c r="X20" s="60"/>
      <c r="Y20" s="60"/>
      <c r="Z20" s="60"/>
      <c r="AA20" s="60"/>
      <c r="AB20" s="60"/>
      <c r="AC20" s="136"/>
    </row>
    <row r="21" spans="2:29" ht="19.95" customHeight="1" x14ac:dyDescent="0.3">
      <c r="B21" s="64" t="str">
        <f>Şablon!E20</f>
        <v>IHL.3028.018/1</v>
      </c>
      <c r="C21" s="76" t="str">
        <f>VLOOKUP($B21,Şablon!$E$3:$Q$255,2,FALSE)</f>
        <v>01.18.02 İŞ GÜVENLİĞİ BARİYERİ</v>
      </c>
      <c r="D21" s="87"/>
      <c r="E21" s="76" t="str">
        <f>VLOOKUP($B21,Şablon!$E$3:$Q$255,3,FALSE)</f>
        <v>B KATEGORİ</v>
      </c>
      <c r="F21" s="77" t="str">
        <f>VLOOKUP($B21,Şablon!$E$3:$Q$255,4,FALSE)</f>
        <v>İNŞ</v>
      </c>
      <c r="G21" s="78">
        <f>I21-VLOOKUP($B21,Şablon!$E$3:$Q$255,5,FALSE)</f>
        <v>-63</v>
      </c>
      <c r="H21" s="55"/>
      <c r="I21" s="78">
        <f>K21-VLOOKUP($B21,Şablon!$E$3:$Q$255,6,FALSE)</f>
        <v>-63</v>
      </c>
      <c r="J21" s="55"/>
      <c r="K21" s="78">
        <f>M21-VLOOKUP($B21,Şablon!$E$3:$Q$255,7,FALSE)</f>
        <v>-49</v>
      </c>
      <c r="L21" s="55"/>
      <c r="M21" s="78">
        <f>O21-VLOOKUP($B21,Şablon!$E$3:$Q$255,8,FALSE)</f>
        <v>-42</v>
      </c>
      <c r="N21" s="55"/>
      <c r="O21" s="78">
        <f>Q21-VLOOKUP($B21,Şablon!$E$3:$Q$255,9,FALSE)</f>
        <v>-28</v>
      </c>
      <c r="P21" s="55"/>
      <c r="Q21" s="78">
        <f>S21-VLOOKUP($B21,Şablon!$E$3:$Q$255,10,FALSE)</f>
        <v>-21</v>
      </c>
      <c r="R21" s="55"/>
      <c r="S21" s="78">
        <f>U21-(VLOOKUP($B21,Şablon!$E$3:$Q$255,11,FALSE)+VLOOKUP($B21,Şablon!$E$3:$Q$255,12,FALSE))</f>
        <v>-14</v>
      </c>
      <c r="T21" s="55"/>
      <c r="U21" s="57"/>
      <c r="V21" s="55"/>
      <c r="W21" s="59"/>
      <c r="X21" s="60"/>
      <c r="Y21" s="60"/>
      <c r="Z21" s="60"/>
      <c r="AA21" s="60"/>
      <c r="AB21" s="60"/>
      <c r="AC21" s="136"/>
    </row>
    <row r="22" spans="2:29" ht="19.95" customHeight="1" x14ac:dyDescent="0.3">
      <c r="B22" s="64" t="str">
        <f>Şablon!E21</f>
        <v>IHL.3028.019/1</v>
      </c>
      <c r="C22" s="76" t="str">
        <f>VLOOKUP($B22,Şablon!$E$3:$Q$255,2,FALSE)</f>
        <v>01.19.00 RÜZGAR PERDESİ KALIP KİRALAMA</v>
      </c>
      <c r="D22" s="87"/>
      <c r="E22" s="76" t="str">
        <f>VLOOKUP($B22,Şablon!$E$3:$Q$255,3,FALSE)</f>
        <v>B KATEGORİ</v>
      </c>
      <c r="F22" s="77" t="str">
        <f>VLOOKUP($B22,Şablon!$E$3:$Q$255,4,FALSE)</f>
        <v>İNŞ</v>
      </c>
      <c r="G22" s="78">
        <f>I22-VLOOKUP($B22,Şablon!$E$3:$Q$255,5,FALSE)</f>
        <v>-98</v>
      </c>
      <c r="H22" s="55"/>
      <c r="I22" s="78">
        <f>K22-VLOOKUP($B22,Şablon!$E$3:$Q$255,6,FALSE)</f>
        <v>-98</v>
      </c>
      <c r="J22" s="55"/>
      <c r="K22" s="78">
        <f>M22-VLOOKUP($B22,Şablon!$E$3:$Q$255,7,FALSE)</f>
        <v>-84</v>
      </c>
      <c r="L22" s="55"/>
      <c r="M22" s="78">
        <f>O22-VLOOKUP($B22,Şablon!$E$3:$Q$255,8,FALSE)</f>
        <v>-77</v>
      </c>
      <c r="N22" s="55"/>
      <c r="O22" s="78">
        <f>Q22-VLOOKUP($B22,Şablon!$E$3:$Q$255,9,FALSE)</f>
        <v>-56</v>
      </c>
      <c r="P22" s="55"/>
      <c r="Q22" s="78">
        <f>S22-VLOOKUP($B22,Şablon!$E$3:$Q$255,10,FALSE)</f>
        <v>-49</v>
      </c>
      <c r="R22" s="55"/>
      <c r="S22" s="78">
        <f>U22-(VLOOKUP($B22,Şablon!$E$3:$Q$255,11,FALSE)+VLOOKUP($B22,Şablon!$E$3:$Q$255,12,FALSE))</f>
        <v>-35</v>
      </c>
      <c r="T22" s="55"/>
      <c r="U22" s="57"/>
      <c r="V22" s="55"/>
      <c r="W22" s="59"/>
      <c r="X22" s="60"/>
      <c r="Y22" s="60"/>
      <c r="Z22" s="60"/>
      <c r="AA22" s="60"/>
      <c r="AB22" s="60"/>
      <c r="AC22" s="136"/>
    </row>
    <row r="23" spans="2:29" ht="19.95" customHeight="1" x14ac:dyDescent="0.3">
      <c r="B23" s="64" t="str">
        <f>Şablon!E22</f>
        <v>IHL.3028.020/1</v>
      </c>
      <c r="C23" s="76" t="str">
        <f>VLOOKUP($B23,Şablon!$E$3:$Q$255,2,FALSE)</f>
        <v>15.15.02 RCS ÜZERİ LOGO İŞLERİ</v>
      </c>
      <c r="D23" s="87"/>
      <c r="E23" s="76" t="str">
        <f>VLOOKUP($B23,Şablon!$E$3:$Q$255,3,FALSE)</f>
        <v>C KATEGORİ</v>
      </c>
      <c r="F23" s="77" t="str">
        <f>VLOOKUP($B23,Şablon!$E$3:$Q$255,4,FALSE)</f>
        <v>İNŞ</v>
      </c>
      <c r="G23" s="78">
        <f>I23-VLOOKUP($B23,Şablon!$E$3:$Q$255,5,FALSE)</f>
        <v>-70</v>
      </c>
      <c r="H23" s="55"/>
      <c r="I23" s="78">
        <f>K23-VLOOKUP($B23,Şablon!$E$3:$Q$255,6,FALSE)</f>
        <v>-70</v>
      </c>
      <c r="J23" s="55"/>
      <c r="K23" s="78">
        <f>M23-VLOOKUP($B23,Şablon!$E$3:$Q$255,7,FALSE)</f>
        <v>-56</v>
      </c>
      <c r="L23" s="55"/>
      <c r="M23" s="78">
        <f>O23-VLOOKUP($B23,Şablon!$E$3:$Q$255,8,FALSE)</f>
        <v>-49</v>
      </c>
      <c r="N23" s="55"/>
      <c r="O23" s="78">
        <f>Q23-VLOOKUP($B23,Şablon!$E$3:$Q$255,9,FALSE)</f>
        <v>-35</v>
      </c>
      <c r="P23" s="55"/>
      <c r="Q23" s="78">
        <f>S23-VLOOKUP($B23,Şablon!$E$3:$Q$255,10,FALSE)</f>
        <v>-28</v>
      </c>
      <c r="R23" s="55"/>
      <c r="S23" s="78">
        <f>U23-(VLOOKUP($B23,Şablon!$E$3:$Q$255,11,FALSE)+VLOOKUP($B23,Şablon!$E$3:$Q$255,12,FALSE))</f>
        <v>-21</v>
      </c>
      <c r="T23" s="55"/>
      <c r="U23" s="57"/>
      <c r="V23" s="55"/>
      <c r="W23" s="59"/>
      <c r="X23" s="60"/>
      <c r="Y23" s="60"/>
      <c r="Z23" s="60"/>
      <c r="AA23" s="60"/>
      <c r="AB23" s="60"/>
      <c r="AC23" s="136"/>
    </row>
    <row r="24" spans="2:29" ht="19.95" customHeight="1" x14ac:dyDescent="0.3">
      <c r="B24" s="64" t="str">
        <f>Şablon!E23</f>
        <v>IHL.3028.021/1</v>
      </c>
      <c r="C24" s="76" t="str">
        <f>VLOOKUP($B24,Şablon!$E$3:$Q$255,2,FALSE)</f>
        <v>01.17.02 PERSONEL ASANSÖRÜ</v>
      </c>
      <c r="D24" s="87"/>
      <c r="E24" s="76" t="str">
        <f>VLOOKUP($B24,Şablon!$E$3:$Q$255,3,FALSE)</f>
        <v>B KATEGORİ</v>
      </c>
      <c r="F24" s="77" t="str">
        <f>VLOOKUP($B24,Şablon!$E$3:$Q$255,4,FALSE)</f>
        <v>İNŞ</v>
      </c>
      <c r="G24" s="78">
        <f>I24-VLOOKUP($B24,Şablon!$E$3:$Q$255,5,FALSE)</f>
        <v>-91</v>
      </c>
      <c r="H24" s="55"/>
      <c r="I24" s="78">
        <f>K24-VLOOKUP($B24,Şablon!$E$3:$Q$255,6,FALSE)</f>
        <v>-91</v>
      </c>
      <c r="J24" s="55"/>
      <c r="K24" s="78">
        <f>M24-VLOOKUP($B24,Şablon!$E$3:$Q$255,7,FALSE)</f>
        <v>-77</v>
      </c>
      <c r="L24" s="55"/>
      <c r="M24" s="78">
        <f>O24-VLOOKUP($B24,Şablon!$E$3:$Q$255,8,FALSE)</f>
        <v>-70</v>
      </c>
      <c r="N24" s="55"/>
      <c r="O24" s="78">
        <f>Q24-VLOOKUP($B24,Şablon!$E$3:$Q$255,9,FALSE)</f>
        <v>-49</v>
      </c>
      <c r="P24" s="55"/>
      <c r="Q24" s="78">
        <f>S24-VLOOKUP($B24,Şablon!$E$3:$Q$255,10,FALSE)</f>
        <v>-42</v>
      </c>
      <c r="R24" s="55"/>
      <c r="S24" s="78">
        <f>U24-(VLOOKUP($B24,Şablon!$E$3:$Q$255,11,FALSE)+VLOOKUP($B24,Şablon!$E$3:$Q$255,12,FALSE))</f>
        <v>-35</v>
      </c>
      <c r="T24" s="55"/>
      <c r="U24" s="57"/>
      <c r="V24" s="55"/>
      <c r="W24" s="59"/>
      <c r="X24" s="60"/>
      <c r="Y24" s="60"/>
      <c r="Z24" s="60"/>
      <c r="AA24" s="60"/>
      <c r="AB24" s="60"/>
      <c r="AC24" s="136"/>
    </row>
    <row r="25" spans="2:29" ht="19.95" customHeight="1" x14ac:dyDescent="0.3">
      <c r="B25" s="64" t="str">
        <f>Şablon!E24</f>
        <v>IHL.3028.022/1</v>
      </c>
      <c r="C25" s="76" t="str">
        <f>VLOOKUP($B25,Şablon!$E$3:$Q$255,2,FALSE)</f>
        <v>01.17.00 HİDROLİK DAĞITICI &amp; SABİT POMPA</v>
      </c>
      <c r="D25" s="87"/>
      <c r="E25" s="76" t="str">
        <f>VLOOKUP($B25,Şablon!$E$3:$Q$255,3,FALSE)</f>
        <v>B KATEGORİ</v>
      </c>
      <c r="F25" s="77" t="str">
        <f>VLOOKUP($B25,Şablon!$E$3:$Q$255,4,FALSE)</f>
        <v>İNŞ</v>
      </c>
      <c r="G25" s="78">
        <f>I25-VLOOKUP($B25,Şablon!$E$3:$Q$255,5,FALSE)</f>
        <v>-77</v>
      </c>
      <c r="H25" s="55"/>
      <c r="I25" s="78">
        <f>K25-VLOOKUP($B25,Şablon!$E$3:$Q$255,6,FALSE)</f>
        <v>-77</v>
      </c>
      <c r="J25" s="55"/>
      <c r="K25" s="78">
        <f>M25-VLOOKUP($B25,Şablon!$E$3:$Q$255,7,FALSE)</f>
        <v>-63</v>
      </c>
      <c r="L25" s="55"/>
      <c r="M25" s="78">
        <f>O25-VLOOKUP($B25,Şablon!$E$3:$Q$255,8,FALSE)</f>
        <v>-56</v>
      </c>
      <c r="N25" s="55"/>
      <c r="O25" s="78">
        <f>Q25-VLOOKUP($B25,Şablon!$E$3:$Q$255,9,FALSE)</f>
        <v>-35</v>
      </c>
      <c r="P25" s="55"/>
      <c r="Q25" s="78">
        <f>S25-VLOOKUP($B25,Şablon!$E$3:$Q$255,10,FALSE)</f>
        <v>-28</v>
      </c>
      <c r="R25" s="55"/>
      <c r="S25" s="78">
        <f>U25-(VLOOKUP($B25,Şablon!$E$3:$Q$255,11,FALSE)+VLOOKUP($B25,Şablon!$E$3:$Q$255,12,FALSE))</f>
        <v>-21</v>
      </c>
      <c r="T25" s="55"/>
      <c r="U25" s="57"/>
      <c r="V25" s="55"/>
      <c r="W25" s="59"/>
      <c r="X25" s="60"/>
      <c r="Y25" s="60"/>
      <c r="Z25" s="60"/>
      <c r="AA25" s="60"/>
      <c r="AB25" s="60"/>
      <c r="AC25" s="136"/>
    </row>
    <row r="26" spans="2:29" ht="19.95" customHeight="1" x14ac:dyDescent="0.3">
      <c r="B26" s="64" t="str">
        <f>Şablon!E25</f>
        <v>IHL.3028.023/1</v>
      </c>
      <c r="C26" s="76" t="str">
        <f>VLOOKUP($B26,Şablon!$E$3:$Q$255,2,FALSE)</f>
        <v>19.02.00 ALÜMİNYUM DOĞRAMA VE CEPHE KAPLAMA</v>
      </c>
      <c r="D26" s="87"/>
      <c r="E26" s="76" t="str">
        <f>VLOOKUP($B26,Şablon!$E$3:$Q$255,3,FALSE)</f>
        <v>A KATEGORİ</v>
      </c>
      <c r="F26" s="77" t="str">
        <f>VLOOKUP($B26,Şablon!$E$3:$Q$255,4,FALSE)</f>
        <v>İNŞ</v>
      </c>
      <c r="G26" s="78">
        <f>I26-VLOOKUP($B26,Şablon!$E$3:$Q$255,5,FALSE)</f>
        <v>-184</v>
      </c>
      <c r="H26" s="55"/>
      <c r="I26" s="78">
        <f>K26-VLOOKUP($B26,Şablon!$E$3:$Q$255,6,FALSE)</f>
        <v>-184</v>
      </c>
      <c r="J26" s="55"/>
      <c r="K26" s="78">
        <f>M26-VLOOKUP($B26,Şablon!$E$3:$Q$255,7,FALSE)</f>
        <v>-154</v>
      </c>
      <c r="L26" s="55"/>
      <c r="M26" s="78">
        <f>O26-VLOOKUP($B26,Şablon!$E$3:$Q$255,8,FALSE)</f>
        <v>-133</v>
      </c>
      <c r="N26" s="55"/>
      <c r="O26" s="78">
        <f>Q26-VLOOKUP($B26,Şablon!$E$3:$Q$255,9,FALSE)</f>
        <v>-73</v>
      </c>
      <c r="P26" s="55"/>
      <c r="Q26" s="78">
        <f>S26-VLOOKUP($B26,Şablon!$E$3:$Q$255,10,FALSE)</f>
        <v>-63</v>
      </c>
      <c r="R26" s="55"/>
      <c r="S26" s="78">
        <f>U26-(VLOOKUP($B26,Şablon!$E$3:$Q$255,11,FALSE)+VLOOKUP($B26,Şablon!$E$3:$Q$255,12,FALSE))</f>
        <v>-42</v>
      </c>
      <c r="T26" s="55"/>
      <c r="U26" s="57"/>
      <c r="V26" s="55"/>
      <c r="W26" s="59"/>
      <c r="X26" s="60"/>
      <c r="Y26" s="60"/>
      <c r="Z26" s="60"/>
      <c r="AA26" s="60"/>
      <c r="AB26" s="60"/>
      <c r="AC26" s="136"/>
    </row>
    <row r="27" spans="2:29" ht="19.95" customHeight="1" x14ac:dyDescent="0.3">
      <c r="B27" s="64" t="str">
        <f>Şablon!E26</f>
        <v>IHL.3028.024/1</v>
      </c>
      <c r="C27" s="76" t="str">
        <f>VLOOKUP($B27,Şablon!$E$3:$Q$255,2,FALSE)</f>
        <v>19.03.00 PREKAST CEPHE KAPLAMA</v>
      </c>
      <c r="D27" s="87"/>
      <c r="E27" s="76" t="str">
        <f>VLOOKUP($B27,Şablon!$E$3:$Q$255,3,FALSE)</f>
        <v>A KATEGORİ</v>
      </c>
      <c r="F27" s="77" t="str">
        <f>VLOOKUP($B27,Şablon!$E$3:$Q$255,4,FALSE)</f>
        <v>İNŞ</v>
      </c>
      <c r="G27" s="78">
        <f>I27-VLOOKUP($B27,Şablon!$E$3:$Q$255,5,FALSE)</f>
        <v>-215</v>
      </c>
      <c r="H27" s="55"/>
      <c r="I27" s="78">
        <f>K27-VLOOKUP($B27,Şablon!$E$3:$Q$255,6,FALSE)</f>
        <v>-215</v>
      </c>
      <c r="J27" s="55"/>
      <c r="K27" s="78">
        <f>M27-VLOOKUP($B27,Şablon!$E$3:$Q$255,7,FALSE)</f>
        <v>-185</v>
      </c>
      <c r="L27" s="55"/>
      <c r="M27" s="78">
        <f>O27-VLOOKUP($B27,Şablon!$E$3:$Q$255,8,FALSE)</f>
        <v>-164</v>
      </c>
      <c r="N27" s="55"/>
      <c r="O27" s="78">
        <f>Q27-VLOOKUP($B27,Şablon!$E$3:$Q$255,9,FALSE)</f>
        <v>-104</v>
      </c>
      <c r="P27" s="55"/>
      <c r="Q27" s="78">
        <f>S27-VLOOKUP($B27,Şablon!$E$3:$Q$255,10,FALSE)</f>
        <v>-94</v>
      </c>
      <c r="R27" s="55"/>
      <c r="S27" s="78">
        <f>U27-(VLOOKUP($B27,Şablon!$E$3:$Q$255,11,FALSE)+VLOOKUP($B27,Şablon!$E$3:$Q$255,12,FALSE))</f>
        <v>-73</v>
      </c>
      <c r="T27" s="55"/>
      <c r="U27" s="57"/>
      <c r="V27" s="55"/>
      <c r="W27" s="59"/>
      <c r="X27" s="60"/>
      <c r="Y27" s="60"/>
      <c r="Z27" s="60"/>
      <c r="AA27" s="60"/>
      <c r="AB27" s="60"/>
      <c r="AC27" s="136"/>
    </row>
    <row r="28" spans="2:29" ht="19.95" customHeight="1" x14ac:dyDescent="0.3">
      <c r="B28" s="64" t="str">
        <f>Şablon!E27</f>
        <v>IHL.3028.025/1</v>
      </c>
      <c r="C28" s="76" t="str">
        <f>VLOOKUP($B28,Şablon!$E$3:$Q$255,2,FALSE)</f>
        <v>19.03.01 DOĞALTAŞ CEPHE KAPLAMA İŞLERİ</v>
      </c>
      <c r="D28" s="87"/>
      <c r="E28" s="76" t="str">
        <f>VLOOKUP($B28,Şablon!$E$3:$Q$255,3,FALSE)</f>
        <v>A KATEGORİ</v>
      </c>
      <c r="F28" s="77" t="str">
        <f>VLOOKUP($B28,Şablon!$E$3:$Q$255,4,FALSE)</f>
        <v>İNŞ</v>
      </c>
      <c r="G28" s="78">
        <f>I28-VLOOKUP($B28,Şablon!$E$3:$Q$255,5,FALSE)</f>
        <v>-167</v>
      </c>
      <c r="H28" s="55"/>
      <c r="I28" s="78">
        <f>K28-VLOOKUP($B28,Şablon!$E$3:$Q$255,6,FALSE)</f>
        <v>-167</v>
      </c>
      <c r="J28" s="55"/>
      <c r="K28" s="78">
        <f>M28-VLOOKUP($B28,Şablon!$E$3:$Q$255,7,FALSE)</f>
        <v>-153</v>
      </c>
      <c r="L28" s="55"/>
      <c r="M28" s="78">
        <f>O28-VLOOKUP($B28,Şablon!$E$3:$Q$255,8,FALSE)</f>
        <v>-132</v>
      </c>
      <c r="N28" s="55"/>
      <c r="O28" s="78">
        <f>Q28-VLOOKUP($B28,Şablon!$E$3:$Q$255,9,FALSE)</f>
        <v>-87</v>
      </c>
      <c r="P28" s="55"/>
      <c r="Q28" s="78">
        <f>S28-VLOOKUP($B28,Şablon!$E$3:$Q$255,10,FALSE)</f>
        <v>-77</v>
      </c>
      <c r="R28" s="55"/>
      <c r="S28" s="78">
        <f>U28-(VLOOKUP($B28,Şablon!$E$3:$Q$255,11,FALSE)+VLOOKUP($B28,Şablon!$E$3:$Q$255,12,FALSE))</f>
        <v>-56</v>
      </c>
      <c r="T28" s="55"/>
      <c r="U28" s="57"/>
      <c r="V28" s="55"/>
      <c r="W28" s="59"/>
      <c r="X28" s="60"/>
      <c r="Y28" s="60"/>
      <c r="Z28" s="60"/>
      <c r="AA28" s="60"/>
      <c r="AB28" s="60"/>
      <c r="AC28" s="136"/>
    </row>
    <row r="29" spans="2:29" ht="19.95" customHeight="1" x14ac:dyDescent="0.3">
      <c r="B29" s="64" t="str">
        <f>Şablon!E28</f>
        <v>IHL.3028.026/1</v>
      </c>
      <c r="C29" s="76" t="str">
        <f>VLOOKUP($B29,Şablon!$E$3:$Q$255,2,FALSE)</f>
        <v>19.03.02 THERMOWOOD CEPHE KAPLAMA İŞLERİ</v>
      </c>
      <c r="D29" s="87"/>
      <c r="E29" s="76" t="str">
        <f>VLOOKUP($B29,Şablon!$E$3:$Q$255,3,FALSE)</f>
        <v>A KATEGORİ</v>
      </c>
      <c r="F29" s="77" t="str">
        <f>VLOOKUP($B29,Şablon!$E$3:$Q$255,4,FALSE)</f>
        <v>İNŞ</v>
      </c>
      <c r="G29" s="78">
        <f>I29-VLOOKUP($B29,Şablon!$E$3:$Q$255,5,FALSE)</f>
        <v>-122</v>
      </c>
      <c r="H29" s="55"/>
      <c r="I29" s="78">
        <f>K29-VLOOKUP($B29,Şablon!$E$3:$Q$255,6,FALSE)</f>
        <v>-122</v>
      </c>
      <c r="J29" s="55"/>
      <c r="K29" s="78">
        <f>M29-VLOOKUP($B29,Şablon!$E$3:$Q$255,7,FALSE)</f>
        <v>-108</v>
      </c>
      <c r="L29" s="55"/>
      <c r="M29" s="78">
        <f>O29-VLOOKUP($B29,Şablon!$E$3:$Q$255,8,FALSE)</f>
        <v>-94</v>
      </c>
      <c r="N29" s="55"/>
      <c r="O29" s="78">
        <f>Q29-VLOOKUP($B29,Şablon!$E$3:$Q$255,9,FALSE)</f>
        <v>-66</v>
      </c>
      <c r="P29" s="55"/>
      <c r="Q29" s="78">
        <f>S29-VLOOKUP($B29,Şablon!$E$3:$Q$255,10,FALSE)</f>
        <v>-56</v>
      </c>
      <c r="R29" s="55"/>
      <c r="S29" s="78">
        <f>U29-(VLOOKUP($B29,Şablon!$E$3:$Q$255,11,FALSE)+VLOOKUP($B29,Şablon!$E$3:$Q$255,12,FALSE))</f>
        <v>-42</v>
      </c>
      <c r="T29" s="55"/>
      <c r="U29" s="57"/>
      <c r="V29" s="55"/>
      <c r="W29" s="59"/>
      <c r="X29" s="60"/>
      <c r="Y29" s="60"/>
      <c r="Z29" s="60"/>
      <c r="AA29" s="60"/>
      <c r="AB29" s="60"/>
      <c r="AC29" s="136"/>
    </row>
    <row r="30" spans="2:29" ht="19.95" customHeight="1" x14ac:dyDescent="0.3">
      <c r="B30" s="64" t="str">
        <f>Şablon!E29</f>
        <v>IHL.3028.027/1</v>
      </c>
      <c r="C30" s="76" t="str">
        <f>VLOOKUP($B30,Şablon!$E$3:$Q$255,2,FALSE)</f>
        <v>19.03.03 FIBERCEMENT CEPHE KAPLAMA İŞLERİ</v>
      </c>
      <c r="D30" s="87"/>
      <c r="E30" s="76" t="str">
        <f>VLOOKUP($B30,Şablon!$E$3:$Q$255,3,FALSE)</f>
        <v>A KATEGORİ</v>
      </c>
      <c r="F30" s="77" t="str">
        <f>VLOOKUP($B30,Şablon!$E$3:$Q$255,4,FALSE)</f>
        <v>İNŞ</v>
      </c>
      <c r="G30" s="78">
        <f>I30-VLOOKUP($B30,Şablon!$E$3:$Q$255,5,FALSE)</f>
        <v>-122</v>
      </c>
      <c r="H30" s="55"/>
      <c r="I30" s="78">
        <f>K30-VLOOKUP($B30,Şablon!$E$3:$Q$255,6,FALSE)</f>
        <v>-122</v>
      </c>
      <c r="J30" s="55"/>
      <c r="K30" s="78">
        <f>M30-VLOOKUP($B30,Şablon!$E$3:$Q$255,7,FALSE)</f>
        <v>-108</v>
      </c>
      <c r="L30" s="55"/>
      <c r="M30" s="78">
        <f>O30-VLOOKUP($B30,Şablon!$E$3:$Q$255,8,FALSE)</f>
        <v>-94</v>
      </c>
      <c r="N30" s="55"/>
      <c r="O30" s="78">
        <f>Q30-VLOOKUP($B30,Şablon!$E$3:$Q$255,9,FALSE)</f>
        <v>-66</v>
      </c>
      <c r="P30" s="55"/>
      <c r="Q30" s="78">
        <f>S30-VLOOKUP($B30,Şablon!$E$3:$Q$255,10,FALSE)</f>
        <v>-56</v>
      </c>
      <c r="R30" s="55"/>
      <c r="S30" s="78">
        <f>U30-(VLOOKUP($B30,Şablon!$E$3:$Q$255,11,FALSE)+VLOOKUP($B30,Şablon!$E$3:$Q$255,12,FALSE))</f>
        <v>-42</v>
      </c>
      <c r="T30" s="55"/>
      <c r="U30" s="57"/>
      <c r="V30" s="55"/>
      <c r="W30" s="59"/>
      <c r="X30" s="60"/>
      <c r="Y30" s="60"/>
      <c r="Z30" s="60"/>
      <c r="AA30" s="60"/>
      <c r="AB30" s="60"/>
      <c r="AC30" s="136"/>
    </row>
    <row r="31" spans="2:29" ht="19.95" customHeight="1" x14ac:dyDescent="0.3">
      <c r="B31" s="64" t="str">
        <f>Şablon!E30</f>
        <v>IHL.3028.028/1</v>
      </c>
      <c r="C31" s="76" t="str">
        <f>VLOOKUP($B31,Şablon!$E$3:$Q$255,2,FALSE)</f>
        <v>19.01.01 DIŞ CEPHE SIVA &amp; BOYA İŞLERİ</v>
      </c>
      <c r="D31" s="87"/>
      <c r="E31" s="76" t="str">
        <f>VLOOKUP($B31,Şablon!$E$3:$Q$255,3,FALSE)</f>
        <v>A KATEGORİ</v>
      </c>
      <c r="F31" s="77" t="str">
        <f>VLOOKUP($B31,Şablon!$E$3:$Q$255,4,FALSE)</f>
        <v>İNŞ</v>
      </c>
      <c r="G31" s="78">
        <f>I31-VLOOKUP($B31,Şablon!$E$3:$Q$255,5,FALSE)</f>
        <v>-80</v>
      </c>
      <c r="H31" s="55"/>
      <c r="I31" s="78">
        <f>K31-VLOOKUP($B31,Şablon!$E$3:$Q$255,6,FALSE)</f>
        <v>-80</v>
      </c>
      <c r="J31" s="55"/>
      <c r="K31" s="78">
        <f>M31-VLOOKUP($B31,Şablon!$E$3:$Q$255,7,FALSE)</f>
        <v>-66</v>
      </c>
      <c r="L31" s="55"/>
      <c r="M31" s="78">
        <f>O31-VLOOKUP($B31,Şablon!$E$3:$Q$255,8,FALSE)</f>
        <v>-59</v>
      </c>
      <c r="N31" s="55"/>
      <c r="O31" s="78">
        <f>Q31-VLOOKUP($B31,Şablon!$E$3:$Q$255,9,FALSE)</f>
        <v>-31</v>
      </c>
      <c r="P31" s="55"/>
      <c r="Q31" s="78">
        <f>S31-VLOOKUP($B31,Şablon!$E$3:$Q$255,10,FALSE)</f>
        <v>-21</v>
      </c>
      <c r="R31" s="55"/>
      <c r="S31" s="78">
        <f>U31-(VLOOKUP($B31,Şablon!$E$3:$Q$255,11,FALSE)+VLOOKUP($B31,Şablon!$E$3:$Q$255,12,FALSE))</f>
        <v>-7</v>
      </c>
      <c r="T31" s="55"/>
      <c r="U31" s="57"/>
      <c r="V31" s="55"/>
      <c r="W31" s="59"/>
      <c r="X31" s="60"/>
      <c r="Y31" s="60"/>
      <c r="Z31" s="60"/>
      <c r="AA31" s="60"/>
      <c r="AB31" s="60"/>
      <c r="AC31" s="136"/>
    </row>
    <row r="32" spans="2:29" ht="19.95" customHeight="1" x14ac:dyDescent="0.3">
      <c r="B32" s="64" t="str">
        <f>Şablon!E31</f>
        <v>IHL.3028.029/1</v>
      </c>
      <c r="C32" s="76" t="str">
        <f>VLOOKUP($B32,Şablon!$E$3:$Q$255,2,FALSE)</f>
        <v>19.01.00 DIŞ CEPHE MANTOLAMA İŞLERİ</v>
      </c>
      <c r="D32" s="87"/>
      <c r="E32" s="76" t="str">
        <f>VLOOKUP($B32,Şablon!$E$3:$Q$255,3,FALSE)</f>
        <v>A KATEGORİ</v>
      </c>
      <c r="F32" s="77" t="str">
        <f>VLOOKUP($B32,Şablon!$E$3:$Q$255,4,FALSE)</f>
        <v>İNŞ</v>
      </c>
      <c r="G32" s="78">
        <f>I32-VLOOKUP($B32,Şablon!$E$3:$Q$255,5,FALSE)</f>
        <v>-94</v>
      </c>
      <c r="H32" s="55"/>
      <c r="I32" s="78">
        <f>K32-VLOOKUP($B32,Şablon!$E$3:$Q$255,6,FALSE)</f>
        <v>-94</v>
      </c>
      <c r="J32" s="55"/>
      <c r="K32" s="78">
        <f>M32-VLOOKUP($B32,Şablon!$E$3:$Q$255,7,FALSE)</f>
        <v>-80</v>
      </c>
      <c r="L32" s="55"/>
      <c r="M32" s="78">
        <f>O32-VLOOKUP($B32,Şablon!$E$3:$Q$255,8,FALSE)</f>
        <v>-66</v>
      </c>
      <c r="N32" s="55"/>
      <c r="O32" s="78">
        <f>Q32-VLOOKUP($B32,Şablon!$E$3:$Q$255,9,FALSE)</f>
        <v>-38</v>
      </c>
      <c r="P32" s="55"/>
      <c r="Q32" s="78">
        <f>S32-VLOOKUP($B32,Şablon!$E$3:$Q$255,10,FALSE)</f>
        <v>-28</v>
      </c>
      <c r="R32" s="55"/>
      <c r="S32" s="78">
        <f>U32-(VLOOKUP($B32,Şablon!$E$3:$Q$255,11,FALSE)+VLOOKUP($B32,Şablon!$E$3:$Q$255,12,FALSE))</f>
        <v>-14</v>
      </c>
      <c r="T32" s="55"/>
      <c r="U32" s="57"/>
      <c r="V32" s="55"/>
      <c r="W32" s="59"/>
      <c r="X32" s="60"/>
      <c r="Y32" s="60"/>
      <c r="Z32" s="60"/>
      <c r="AA32" s="60"/>
      <c r="AB32" s="60"/>
      <c r="AC32" s="136"/>
    </row>
    <row r="33" spans="2:29" ht="19.95" customHeight="1" x14ac:dyDescent="0.3">
      <c r="B33" s="64" t="str">
        <f>Şablon!E32</f>
        <v>IHL.3028.030/1</v>
      </c>
      <c r="C33" s="76" t="str">
        <f>VLOOKUP($B33,Şablon!$E$3:$Q$255,2,FALSE)</f>
        <v>15.12.00 KİREMİT ÇATI İŞLERİ</v>
      </c>
      <c r="D33" s="87"/>
      <c r="E33" s="76" t="str">
        <f>VLOOKUP($B33,Şablon!$E$3:$Q$255,3,FALSE)</f>
        <v>A KATEGORİ</v>
      </c>
      <c r="F33" s="77" t="str">
        <f>VLOOKUP($B33,Şablon!$E$3:$Q$255,4,FALSE)</f>
        <v>İNŞ</v>
      </c>
      <c r="G33" s="78">
        <f>I33-VLOOKUP($B33,Şablon!$E$3:$Q$255,5,FALSE)</f>
        <v>-101</v>
      </c>
      <c r="H33" s="55"/>
      <c r="I33" s="78">
        <f>K33-VLOOKUP($B33,Şablon!$E$3:$Q$255,6,FALSE)</f>
        <v>-101</v>
      </c>
      <c r="J33" s="55"/>
      <c r="K33" s="78">
        <f>M33-VLOOKUP($B33,Şablon!$E$3:$Q$255,7,FALSE)</f>
        <v>-87</v>
      </c>
      <c r="L33" s="55"/>
      <c r="M33" s="78">
        <f>O33-VLOOKUP($B33,Şablon!$E$3:$Q$255,8,FALSE)</f>
        <v>-73</v>
      </c>
      <c r="N33" s="55"/>
      <c r="O33" s="78">
        <f>Q33-VLOOKUP($B33,Şablon!$E$3:$Q$255,9,FALSE)</f>
        <v>-45</v>
      </c>
      <c r="P33" s="55"/>
      <c r="Q33" s="78">
        <f>S33-VLOOKUP($B33,Şablon!$E$3:$Q$255,10,FALSE)</f>
        <v>-35</v>
      </c>
      <c r="R33" s="55"/>
      <c r="S33" s="78">
        <f>U33-(VLOOKUP($B33,Şablon!$E$3:$Q$255,11,FALSE)+VLOOKUP($B33,Şablon!$E$3:$Q$255,12,FALSE))</f>
        <v>-21</v>
      </c>
      <c r="T33" s="55"/>
      <c r="U33" s="57"/>
      <c r="V33" s="55"/>
      <c r="W33" s="59"/>
      <c r="X33" s="60"/>
      <c r="Y33" s="60"/>
      <c r="Z33" s="60"/>
      <c r="AA33" s="60"/>
      <c r="AB33" s="60"/>
      <c r="AC33" s="136"/>
    </row>
    <row r="34" spans="2:29" ht="19.95" customHeight="1" x14ac:dyDescent="0.3">
      <c r="B34" s="64" t="str">
        <f>Şablon!E33</f>
        <v>IHL.3028.031/1</v>
      </c>
      <c r="C34" s="76" t="str">
        <f>VLOOKUP($B34,Şablon!$E$3:$Q$255,2,FALSE)</f>
        <v>15.12.01 KENET ÇATI İŞLERİ</v>
      </c>
      <c r="D34" s="87"/>
      <c r="E34" s="76" t="str">
        <f>VLOOKUP($B34,Şablon!$E$3:$Q$255,3,FALSE)</f>
        <v>A KATEGORİ</v>
      </c>
      <c r="F34" s="77" t="str">
        <f>VLOOKUP($B34,Şablon!$E$3:$Q$255,4,FALSE)</f>
        <v>İNŞ</v>
      </c>
      <c r="G34" s="78">
        <f>I34-VLOOKUP($B34,Şablon!$E$3:$Q$255,5,FALSE)</f>
        <v>-101</v>
      </c>
      <c r="H34" s="55"/>
      <c r="I34" s="78">
        <f>K34-VLOOKUP($B34,Şablon!$E$3:$Q$255,6,FALSE)</f>
        <v>-101</v>
      </c>
      <c r="J34" s="55"/>
      <c r="K34" s="78">
        <f>M34-VLOOKUP($B34,Şablon!$E$3:$Q$255,7,FALSE)</f>
        <v>-87</v>
      </c>
      <c r="L34" s="55"/>
      <c r="M34" s="78">
        <f>O34-VLOOKUP($B34,Şablon!$E$3:$Q$255,8,FALSE)</f>
        <v>-73</v>
      </c>
      <c r="N34" s="55"/>
      <c r="O34" s="78">
        <f>Q34-VLOOKUP($B34,Şablon!$E$3:$Q$255,9,FALSE)</f>
        <v>-45</v>
      </c>
      <c r="P34" s="55"/>
      <c r="Q34" s="78">
        <f>S34-VLOOKUP($B34,Şablon!$E$3:$Q$255,10,FALSE)</f>
        <v>-35</v>
      </c>
      <c r="R34" s="55"/>
      <c r="S34" s="78">
        <f>U34-(VLOOKUP($B34,Şablon!$E$3:$Q$255,11,FALSE)+VLOOKUP($B34,Şablon!$E$3:$Q$255,12,FALSE))</f>
        <v>-21</v>
      </c>
      <c r="T34" s="55"/>
      <c r="U34" s="57"/>
      <c r="V34" s="55"/>
      <c r="W34" s="59"/>
      <c r="X34" s="60"/>
      <c r="Y34" s="60"/>
      <c r="Z34" s="60"/>
      <c r="AA34" s="60"/>
      <c r="AB34" s="60"/>
      <c r="AC34" s="136"/>
    </row>
    <row r="35" spans="2:29" ht="19.95" customHeight="1" x14ac:dyDescent="0.3">
      <c r="B35" s="64" t="str">
        <f>Şablon!E34</f>
        <v>IHL.3028.032/1</v>
      </c>
      <c r="C35" s="76" t="str">
        <f>VLOOKUP($B35,Şablon!$E$3:$Q$255,2,FALSE)</f>
        <v>19.03.04 CAM SAÇAK KAPLAMA İŞLERİ</v>
      </c>
      <c r="D35" s="87"/>
      <c r="E35" s="76" t="str">
        <f>VLOOKUP($B35,Şablon!$E$3:$Q$255,3,FALSE)</f>
        <v>B KATEGORİ</v>
      </c>
      <c r="F35" s="77" t="str">
        <f>VLOOKUP($B35,Şablon!$E$3:$Q$255,4,FALSE)</f>
        <v>İNŞ</v>
      </c>
      <c r="G35" s="78">
        <f>I35-VLOOKUP($B35,Şablon!$E$3:$Q$255,5,FALSE)</f>
        <v>-151</v>
      </c>
      <c r="H35" s="55"/>
      <c r="I35" s="78">
        <f>K35-VLOOKUP($B35,Şablon!$E$3:$Q$255,6,FALSE)</f>
        <v>-151</v>
      </c>
      <c r="J35" s="55"/>
      <c r="K35" s="78">
        <f>M35-VLOOKUP($B35,Şablon!$E$3:$Q$255,7,FALSE)</f>
        <v>-137</v>
      </c>
      <c r="L35" s="55"/>
      <c r="M35" s="78">
        <f>O35-VLOOKUP($B35,Şablon!$E$3:$Q$255,8,FALSE)</f>
        <v>-123</v>
      </c>
      <c r="N35" s="55"/>
      <c r="O35" s="78">
        <f>Q35-VLOOKUP($B35,Şablon!$E$3:$Q$255,9,FALSE)</f>
        <v>-95</v>
      </c>
      <c r="P35" s="55"/>
      <c r="Q35" s="78">
        <f>S35-VLOOKUP($B35,Şablon!$E$3:$Q$255,10,FALSE)</f>
        <v>-88</v>
      </c>
      <c r="R35" s="55"/>
      <c r="S35" s="78">
        <f>U35-(VLOOKUP($B35,Şablon!$E$3:$Q$255,11,FALSE)+VLOOKUP($B35,Şablon!$E$3:$Q$255,12,FALSE))</f>
        <v>-67</v>
      </c>
      <c r="T35" s="55"/>
      <c r="U35" s="57"/>
      <c r="V35" s="55"/>
      <c r="W35" s="59"/>
      <c r="X35" s="60"/>
      <c r="Y35" s="60"/>
      <c r="Z35" s="60"/>
      <c r="AA35" s="60"/>
      <c r="AB35" s="60"/>
      <c r="AC35" s="136"/>
    </row>
    <row r="36" spans="2:29" ht="19.95" customHeight="1" x14ac:dyDescent="0.3">
      <c r="B36" s="64" t="str">
        <f>Şablon!E35</f>
        <v>IHL.3028.033/1</v>
      </c>
      <c r="C36" s="76" t="str">
        <f>VLOOKUP($B36,Şablon!$E$3:$Q$255,2,FALSE)</f>
        <v>19.03.05 ALÜMİNYUM SAÇAK KAPLAMA İŞLERİ</v>
      </c>
      <c r="D36" s="87"/>
      <c r="E36" s="76" t="str">
        <f>VLOOKUP($B36,Şablon!$E$3:$Q$255,3,FALSE)</f>
        <v>B KATEGORİ</v>
      </c>
      <c r="F36" s="77" t="str">
        <f>VLOOKUP($B36,Şablon!$E$3:$Q$255,4,FALSE)</f>
        <v>İNŞ</v>
      </c>
      <c r="G36" s="78">
        <f>I36-VLOOKUP($B36,Şablon!$E$3:$Q$255,5,FALSE)</f>
        <v>-151</v>
      </c>
      <c r="H36" s="55"/>
      <c r="I36" s="78">
        <f>K36-VLOOKUP($B36,Şablon!$E$3:$Q$255,6,FALSE)</f>
        <v>-151</v>
      </c>
      <c r="J36" s="55"/>
      <c r="K36" s="78">
        <f>M36-VLOOKUP($B36,Şablon!$E$3:$Q$255,7,FALSE)</f>
        <v>-137</v>
      </c>
      <c r="L36" s="55"/>
      <c r="M36" s="78">
        <f>O36-VLOOKUP($B36,Şablon!$E$3:$Q$255,8,FALSE)</f>
        <v>-123</v>
      </c>
      <c r="N36" s="55"/>
      <c r="O36" s="78">
        <f>Q36-VLOOKUP($B36,Şablon!$E$3:$Q$255,9,FALSE)</f>
        <v>-95</v>
      </c>
      <c r="P36" s="55"/>
      <c r="Q36" s="78">
        <f>S36-VLOOKUP($B36,Şablon!$E$3:$Q$255,10,FALSE)</f>
        <v>-88</v>
      </c>
      <c r="R36" s="55"/>
      <c r="S36" s="78">
        <f>U36-(VLOOKUP($B36,Şablon!$E$3:$Q$255,11,FALSE)+VLOOKUP($B36,Şablon!$E$3:$Q$255,12,FALSE))</f>
        <v>-67</v>
      </c>
      <c r="T36" s="55"/>
      <c r="U36" s="57"/>
      <c r="V36" s="55"/>
      <c r="W36" s="59"/>
      <c r="X36" s="60"/>
      <c r="Y36" s="60"/>
      <c r="Z36" s="60"/>
      <c r="AA36" s="60"/>
      <c r="AB36" s="60"/>
      <c r="AC36" s="136"/>
    </row>
    <row r="37" spans="2:29" ht="19.95" customHeight="1" x14ac:dyDescent="0.3">
      <c r="B37" s="64" t="str">
        <f>Şablon!E36</f>
        <v>IHL.3028.034/1</v>
      </c>
      <c r="C37" s="76" t="str">
        <f>VLOOKUP($B37,Şablon!$E$3:$Q$255,2,FALSE)</f>
        <v>19.06.00 PANJUR İŞLERİ</v>
      </c>
      <c r="D37" s="87"/>
      <c r="E37" s="76" t="str">
        <f>VLOOKUP($B37,Şablon!$E$3:$Q$255,3,FALSE)</f>
        <v>B KATEGORİ</v>
      </c>
      <c r="F37" s="77" t="str">
        <f>VLOOKUP($B37,Şablon!$E$3:$Q$255,4,FALSE)</f>
        <v>İNŞ</v>
      </c>
      <c r="G37" s="78">
        <f>I37-VLOOKUP($B37,Şablon!$E$3:$Q$255,5,FALSE)</f>
        <v>-144</v>
      </c>
      <c r="H37" s="55"/>
      <c r="I37" s="78">
        <f>K37-VLOOKUP($B37,Şablon!$E$3:$Q$255,6,FALSE)</f>
        <v>-144</v>
      </c>
      <c r="J37" s="55"/>
      <c r="K37" s="78">
        <f>M37-VLOOKUP($B37,Şablon!$E$3:$Q$255,7,FALSE)</f>
        <v>-130</v>
      </c>
      <c r="L37" s="55"/>
      <c r="M37" s="78">
        <f>O37-VLOOKUP($B37,Şablon!$E$3:$Q$255,8,FALSE)</f>
        <v>-116</v>
      </c>
      <c r="N37" s="55"/>
      <c r="O37" s="78">
        <f>Q37-VLOOKUP($B37,Şablon!$E$3:$Q$255,9,FALSE)</f>
        <v>-88</v>
      </c>
      <c r="P37" s="55"/>
      <c r="Q37" s="78">
        <f>S37-VLOOKUP($B37,Şablon!$E$3:$Q$255,10,FALSE)</f>
        <v>-81</v>
      </c>
      <c r="R37" s="55"/>
      <c r="S37" s="78">
        <f>U37-(VLOOKUP($B37,Şablon!$E$3:$Q$255,11,FALSE)+VLOOKUP($B37,Şablon!$E$3:$Q$255,12,FALSE))</f>
        <v>-67</v>
      </c>
      <c r="T37" s="55"/>
      <c r="U37" s="57"/>
      <c r="V37" s="55"/>
      <c r="W37" s="59"/>
      <c r="X37" s="60"/>
      <c r="Y37" s="60"/>
      <c r="Z37" s="60"/>
      <c r="AA37" s="60"/>
      <c r="AB37" s="60"/>
      <c r="AC37" s="136"/>
    </row>
    <row r="38" spans="2:29" ht="19.95" customHeight="1" x14ac:dyDescent="0.3">
      <c r="B38" s="64" t="str">
        <f>Şablon!E37</f>
        <v>IHL.3028.035/1</v>
      </c>
      <c r="C38" s="76" t="str">
        <f>VLOOKUP($B38,Şablon!$E$3:$Q$255,2,FALSE)</f>
        <v>19.06.01 TENTE İŞLERİ</v>
      </c>
      <c r="D38" s="87"/>
      <c r="E38" s="76" t="str">
        <f>VLOOKUP($B38,Şablon!$E$3:$Q$255,3,FALSE)</f>
        <v>B KATEGORİ</v>
      </c>
      <c r="F38" s="77" t="str">
        <f>VLOOKUP($B38,Şablon!$E$3:$Q$255,4,FALSE)</f>
        <v>İNŞ</v>
      </c>
      <c r="G38" s="78">
        <f>I38-VLOOKUP($B38,Şablon!$E$3:$Q$255,5,FALSE)</f>
        <v>-144</v>
      </c>
      <c r="H38" s="55"/>
      <c r="I38" s="78">
        <f>K38-VLOOKUP($B38,Şablon!$E$3:$Q$255,6,FALSE)</f>
        <v>-144</v>
      </c>
      <c r="J38" s="55"/>
      <c r="K38" s="78">
        <f>M38-VLOOKUP($B38,Şablon!$E$3:$Q$255,7,FALSE)</f>
        <v>-130</v>
      </c>
      <c r="L38" s="55"/>
      <c r="M38" s="78">
        <f>O38-VLOOKUP($B38,Şablon!$E$3:$Q$255,8,FALSE)</f>
        <v>-116</v>
      </c>
      <c r="N38" s="55"/>
      <c r="O38" s="78">
        <f>Q38-VLOOKUP($B38,Şablon!$E$3:$Q$255,9,FALSE)</f>
        <v>-88</v>
      </c>
      <c r="P38" s="55"/>
      <c r="Q38" s="78">
        <f>S38-VLOOKUP($B38,Şablon!$E$3:$Q$255,10,FALSE)</f>
        <v>-81</v>
      </c>
      <c r="R38" s="55"/>
      <c r="S38" s="78">
        <f>U38-(VLOOKUP($B38,Şablon!$E$3:$Q$255,11,FALSE)+VLOOKUP($B38,Şablon!$E$3:$Q$255,12,FALSE))</f>
        <v>-67</v>
      </c>
      <c r="T38" s="55"/>
      <c r="U38" s="57"/>
      <c r="V38" s="55"/>
      <c r="W38" s="59"/>
      <c r="X38" s="60"/>
      <c r="Y38" s="60"/>
      <c r="Z38" s="60"/>
      <c r="AA38" s="60"/>
      <c r="AB38" s="60"/>
      <c r="AC38" s="136"/>
    </row>
    <row r="39" spans="2:29" ht="19.95" customHeight="1" x14ac:dyDescent="0.3">
      <c r="B39" s="64" t="str">
        <f>Şablon!E38</f>
        <v>IHL.3028.036/1</v>
      </c>
      <c r="C39" s="76" t="str">
        <f>VLOOKUP($B39,Şablon!$E$3:$Q$255,2,FALSE)</f>
        <v>15.01.00 (M) GAZBETON MALZEME</v>
      </c>
      <c r="D39" s="87"/>
      <c r="E39" s="76" t="str">
        <f>VLOOKUP($B39,Şablon!$E$3:$Q$255,3,FALSE)</f>
        <v>B KATEGORİ</v>
      </c>
      <c r="F39" s="77" t="str">
        <f>VLOOKUP($B39,Şablon!$E$3:$Q$255,4,FALSE)</f>
        <v>İNŞ</v>
      </c>
      <c r="G39" s="78">
        <f>I39-VLOOKUP($B39,Şablon!$E$3:$Q$255,5,FALSE)</f>
        <v>-63</v>
      </c>
      <c r="H39" s="55"/>
      <c r="I39" s="78">
        <f>K39-VLOOKUP($B39,Şablon!$E$3:$Q$255,6,FALSE)</f>
        <v>-63</v>
      </c>
      <c r="J39" s="55"/>
      <c r="K39" s="78">
        <f>M39-VLOOKUP($B39,Şablon!$E$3:$Q$255,7,FALSE)</f>
        <v>-49</v>
      </c>
      <c r="L39" s="55"/>
      <c r="M39" s="78">
        <f>O39-VLOOKUP($B39,Şablon!$E$3:$Q$255,8,FALSE)</f>
        <v>-42</v>
      </c>
      <c r="N39" s="55"/>
      <c r="O39" s="78">
        <f>Q39-VLOOKUP($B39,Şablon!$E$3:$Q$255,9,FALSE)</f>
        <v>-28</v>
      </c>
      <c r="P39" s="55"/>
      <c r="Q39" s="78">
        <f>S39-VLOOKUP($B39,Şablon!$E$3:$Q$255,10,FALSE)</f>
        <v>-21</v>
      </c>
      <c r="R39" s="55"/>
      <c r="S39" s="78">
        <f>U39-(VLOOKUP($B39,Şablon!$E$3:$Q$255,11,FALSE)+VLOOKUP($B39,Şablon!$E$3:$Q$255,12,FALSE))</f>
        <v>-14</v>
      </c>
      <c r="T39" s="55"/>
      <c r="U39" s="57"/>
      <c r="V39" s="55"/>
      <c r="W39" s="59"/>
      <c r="X39" s="60"/>
      <c r="Y39" s="60"/>
      <c r="Z39" s="60"/>
      <c r="AA39" s="60"/>
      <c r="AB39" s="60"/>
      <c r="AC39" s="136"/>
    </row>
    <row r="40" spans="2:29" ht="19.95" customHeight="1" x14ac:dyDescent="0.3">
      <c r="B40" s="64" t="str">
        <f>Şablon!E39</f>
        <v>IHL.3028.037/1</v>
      </c>
      <c r="C40" s="76" t="str">
        <f>VLOOKUP($B40,Şablon!$E$3:$Q$255,2,FALSE)</f>
        <v>15.01.00 GAZBETON DUVAR</v>
      </c>
      <c r="D40" s="87"/>
      <c r="E40" s="76" t="str">
        <f>VLOOKUP($B40,Şablon!$E$3:$Q$255,3,FALSE)</f>
        <v>B KATEGORİ</v>
      </c>
      <c r="F40" s="77" t="str">
        <f>VLOOKUP($B40,Şablon!$E$3:$Q$255,4,FALSE)</f>
        <v>İNŞ</v>
      </c>
      <c r="G40" s="78">
        <f>I40-VLOOKUP($B40,Şablon!$E$3:$Q$255,5,FALSE)</f>
        <v>-70</v>
      </c>
      <c r="H40" s="55"/>
      <c r="I40" s="78">
        <f>K40-VLOOKUP($B40,Şablon!$E$3:$Q$255,6,FALSE)</f>
        <v>-70</v>
      </c>
      <c r="J40" s="55"/>
      <c r="K40" s="78">
        <f>M40-VLOOKUP($B40,Şablon!$E$3:$Q$255,7,FALSE)</f>
        <v>-56</v>
      </c>
      <c r="L40" s="55"/>
      <c r="M40" s="78">
        <f>O40-VLOOKUP($B40,Şablon!$E$3:$Q$255,8,FALSE)</f>
        <v>-42</v>
      </c>
      <c r="N40" s="55"/>
      <c r="O40" s="78">
        <f>Q40-VLOOKUP($B40,Şablon!$E$3:$Q$255,9,FALSE)</f>
        <v>-21</v>
      </c>
      <c r="P40" s="55"/>
      <c r="Q40" s="78">
        <f>S40-VLOOKUP($B40,Şablon!$E$3:$Q$255,10,FALSE)</f>
        <v>-14</v>
      </c>
      <c r="R40" s="55"/>
      <c r="S40" s="78">
        <f>U40-(VLOOKUP($B40,Şablon!$E$3:$Q$255,11,FALSE)+VLOOKUP($B40,Şablon!$E$3:$Q$255,12,FALSE))</f>
        <v>-7</v>
      </c>
      <c r="T40" s="55"/>
      <c r="U40" s="57"/>
      <c r="V40" s="55"/>
      <c r="W40" s="59"/>
      <c r="X40" s="60"/>
      <c r="Y40" s="60"/>
      <c r="Z40" s="60"/>
      <c r="AA40" s="60"/>
      <c r="AB40" s="60"/>
      <c r="AC40" s="136"/>
    </row>
    <row r="41" spans="2:29" ht="19.95" customHeight="1" x14ac:dyDescent="0.3">
      <c r="B41" s="64" t="str">
        <f>Şablon!E40</f>
        <v>IHL.3028.038/1</v>
      </c>
      <c r="C41" s="76" t="str">
        <f>VLOOKUP($B41,Şablon!$E$3:$Q$255,2,FALSE)</f>
        <v>15.01.01 (M) TUĞLA MALZEME</v>
      </c>
      <c r="D41" s="87"/>
      <c r="E41" s="76" t="str">
        <f>VLOOKUP($B41,Şablon!$E$3:$Q$255,3,FALSE)</f>
        <v>B KATEGORİ</v>
      </c>
      <c r="F41" s="77" t="str">
        <f>VLOOKUP($B41,Şablon!$E$3:$Q$255,4,FALSE)</f>
        <v>İNŞ</v>
      </c>
      <c r="G41" s="78">
        <f>I41-VLOOKUP($B41,Şablon!$E$3:$Q$255,5,FALSE)</f>
        <v>-63</v>
      </c>
      <c r="H41" s="55"/>
      <c r="I41" s="78">
        <f>K41-VLOOKUP($B41,Şablon!$E$3:$Q$255,6,FALSE)</f>
        <v>-63</v>
      </c>
      <c r="J41" s="55"/>
      <c r="K41" s="78">
        <f>M41-VLOOKUP($B41,Şablon!$E$3:$Q$255,7,FALSE)</f>
        <v>-49</v>
      </c>
      <c r="L41" s="55"/>
      <c r="M41" s="78">
        <f>O41-VLOOKUP($B41,Şablon!$E$3:$Q$255,8,FALSE)</f>
        <v>-42</v>
      </c>
      <c r="N41" s="55"/>
      <c r="O41" s="78">
        <f>Q41-VLOOKUP($B41,Şablon!$E$3:$Q$255,9,FALSE)</f>
        <v>-28</v>
      </c>
      <c r="P41" s="55"/>
      <c r="Q41" s="78">
        <f>S41-VLOOKUP($B41,Şablon!$E$3:$Q$255,10,FALSE)</f>
        <v>-21</v>
      </c>
      <c r="R41" s="55"/>
      <c r="S41" s="78">
        <f>U41-(VLOOKUP($B41,Şablon!$E$3:$Q$255,11,FALSE)+VLOOKUP($B41,Şablon!$E$3:$Q$255,12,FALSE))</f>
        <v>-14</v>
      </c>
      <c r="T41" s="55"/>
      <c r="U41" s="57"/>
      <c r="V41" s="55"/>
      <c r="W41" s="59"/>
      <c r="X41" s="60"/>
      <c r="Y41" s="60"/>
      <c r="Z41" s="60"/>
      <c r="AA41" s="60"/>
      <c r="AB41" s="60"/>
      <c r="AC41" s="136"/>
    </row>
    <row r="42" spans="2:29" ht="19.95" customHeight="1" x14ac:dyDescent="0.3">
      <c r="B42" s="64" t="str">
        <f>Şablon!E41</f>
        <v>IHL.3028.039/1</v>
      </c>
      <c r="C42" s="76" t="str">
        <f>VLOOKUP($B42,Şablon!$E$3:$Q$255,2,FALSE)</f>
        <v>15.01.01 TUĞLA DUVAR İŞLERİ</v>
      </c>
      <c r="D42" s="87"/>
      <c r="E42" s="76" t="str">
        <f>VLOOKUP($B42,Şablon!$E$3:$Q$255,3,FALSE)</f>
        <v>B KATEGORİ</v>
      </c>
      <c r="F42" s="77" t="str">
        <f>VLOOKUP($B42,Şablon!$E$3:$Q$255,4,FALSE)</f>
        <v>İNŞ</v>
      </c>
      <c r="G42" s="78">
        <f>I42-VLOOKUP($B42,Şablon!$E$3:$Q$255,5,FALSE)</f>
        <v>-70</v>
      </c>
      <c r="H42" s="55"/>
      <c r="I42" s="78">
        <f>K42-VLOOKUP($B42,Şablon!$E$3:$Q$255,6,FALSE)</f>
        <v>-70</v>
      </c>
      <c r="J42" s="55"/>
      <c r="K42" s="78">
        <f>M42-VLOOKUP($B42,Şablon!$E$3:$Q$255,7,FALSE)</f>
        <v>-56</v>
      </c>
      <c r="L42" s="55"/>
      <c r="M42" s="78">
        <f>O42-VLOOKUP($B42,Şablon!$E$3:$Q$255,8,FALSE)</f>
        <v>-42</v>
      </c>
      <c r="N42" s="55"/>
      <c r="O42" s="78">
        <f>Q42-VLOOKUP($B42,Şablon!$E$3:$Q$255,9,FALSE)</f>
        <v>-21</v>
      </c>
      <c r="P42" s="55"/>
      <c r="Q42" s="78">
        <f>S42-VLOOKUP($B42,Şablon!$E$3:$Q$255,10,FALSE)</f>
        <v>-14</v>
      </c>
      <c r="R42" s="55"/>
      <c r="S42" s="78">
        <f>U42-(VLOOKUP($B42,Şablon!$E$3:$Q$255,11,FALSE)+VLOOKUP($B42,Şablon!$E$3:$Q$255,12,FALSE))</f>
        <v>-7</v>
      </c>
      <c r="T42" s="55"/>
      <c r="U42" s="57"/>
      <c r="V42" s="55"/>
      <c r="W42" s="59"/>
      <c r="X42" s="60"/>
      <c r="Y42" s="60"/>
      <c r="Z42" s="60"/>
      <c r="AA42" s="60"/>
      <c r="AB42" s="60"/>
      <c r="AC42" s="136"/>
    </row>
    <row r="43" spans="2:29" ht="19.95" customHeight="1" x14ac:dyDescent="0.3">
      <c r="B43" s="64" t="str">
        <f>Şablon!E42</f>
        <v>IHL.3028.040/1</v>
      </c>
      <c r="C43" s="76" t="str">
        <f>VLOOKUP($B43,Şablon!$E$3:$Q$255,2,FALSE)</f>
        <v>15.14.03 (M) GÖMME REZERVUAR MALZEME TEMİNİ</v>
      </c>
      <c r="D43" s="87"/>
      <c r="E43" s="76" t="str">
        <f>VLOOKUP($B43,Şablon!$E$3:$Q$255,3,FALSE)</f>
        <v>B KATEGORİ</v>
      </c>
      <c r="F43" s="77" t="str">
        <f>VLOOKUP($B43,Şablon!$E$3:$Q$255,4,FALSE)</f>
        <v>İNŞ</v>
      </c>
      <c r="G43" s="78">
        <f>I43-VLOOKUP($B43,Şablon!$E$3:$Q$255,5,FALSE)</f>
        <v>-84</v>
      </c>
      <c r="H43" s="55"/>
      <c r="I43" s="78">
        <f>K43-VLOOKUP($B43,Şablon!$E$3:$Q$255,6,FALSE)</f>
        <v>-84</v>
      </c>
      <c r="J43" s="55"/>
      <c r="K43" s="78">
        <f>M43-VLOOKUP($B43,Şablon!$E$3:$Q$255,7,FALSE)</f>
        <v>-70</v>
      </c>
      <c r="L43" s="55"/>
      <c r="M43" s="78">
        <f>O43-VLOOKUP($B43,Şablon!$E$3:$Q$255,8,FALSE)</f>
        <v>-63</v>
      </c>
      <c r="N43" s="55"/>
      <c r="O43" s="78">
        <f>Q43-VLOOKUP($B43,Şablon!$E$3:$Q$255,9,FALSE)</f>
        <v>-49</v>
      </c>
      <c r="P43" s="55"/>
      <c r="Q43" s="78">
        <f>S43-VLOOKUP($B43,Şablon!$E$3:$Q$255,10,FALSE)</f>
        <v>-42</v>
      </c>
      <c r="R43" s="55"/>
      <c r="S43" s="78">
        <f>U43-(VLOOKUP($B43,Şablon!$E$3:$Q$255,11,FALSE)+VLOOKUP($B43,Şablon!$E$3:$Q$255,12,FALSE))</f>
        <v>-35</v>
      </c>
      <c r="T43" s="55"/>
      <c r="U43" s="57"/>
      <c r="V43" s="55"/>
      <c r="W43" s="59"/>
      <c r="X43" s="60"/>
      <c r="Y43" s="60"/>
      <c r="Z43" s="60"/>
      <c r="AA43" s="60"/>
      <c r="AB43" s="60"/>
      <c r="AC43" s="136"/>
    </row>
    <row r="44" spans="2:29" ht="19.95" customHeight="1" x14ac:dyDescent="0.3">
      <c r="B44" s="64" t="str">
        <f>Şablon!E43</f>
        <v>IHL.3028.041/1</v>
      </c>
      <c r="C44" s="76" t="str">
        <f>VLOOKUP($B44,Şablon!$E$3:$Q$255,2,FALSE)</f>
        <v>15.06.00 (M) SERAMİK MALZEME</v>
      </c>
      <c r="D44" s="87"/>
      <c r="E44" s="76" t="str">
        <f>VLOOKUP($B44,Şablon!$E$3:$Q$255,3,FALSE)</f>
        <v>B KATEGORİ</v>
      </c>
      <c r="F44" s="77" t="str">
        <f>VLOOKUP($B44,Şablon!$E$3:$Q$255,4,FALSE)</f>
        <v>İNŞ</v>
      </c>
      <c r="G44" s="78">
        <f>I44-VLOOKUP($B44,Şablon!$E$3:$Q$255,5,FALSE)</f>
        <v>-137</v>
      </c>
      <c r="H44" s="55"/>
      <c r="I44" s="78">
        <f>K44-VLOOKUP($B44,Şablon!$E$3:$Q$255,6,FALSE)</f>
        <v>-137</v>
      </c>
      <c r="J44" s="55"/>
      <c r="K44" s="78">
        <f>M44-VLOOKUP($B44,Şablon!$E$3:$Q$255,7,FALSE)</f>
        <v>-123</v>
      </c>
      <c r="L44" s="55"/>
      <c r="M44" s="78">
        <f>O44-VLOOKUP($B44,Şablon!$E$3:$Q$255,8,FALSE)</f>
        <v>-109</v>
      </c>
      <c r="N44" s="55"/>
      <c r="O44" s="78">
        <f>Q44-VLOOKUP($B44,Şablon!$E$3:$Q$255,9,FALSE)</f>
        <v>-81</v>
      </c>
      <c r="P44" s="55"/>
      <c r="Q44" s="78">
        <f>S44-VLOOKUP($B44,Şablon!$E$3:$Q$255,10,FALSE)</f>
        <v>-74</v>
      </c>
      <c r="R44" s="55"/>
      <c r="S44" s="78">
        <f>U44-(VLOOKUP($B44,Şablon!$E$3:$Q$255,11,FALSE)+VLOOKUP($B44,Şablon!$E$3:$Q$255,12,FALSE))</f>
        <v>-67</v>
      </c>
      <c r="T44" s="55"/>
      <c r="U44" s="57"/>
      <c r="V44" s="55"/>
      <c r="W44" s="59"/>
      <c r="X44" s="60"/>
      <c r="Y44" s="60"/>
      <c r="Z44" s="60"/>
      <c r="AA44" s="60"/>
      <c r="AB44" s="60"/>
      <c r="AC44" s="136"/>
    </row>
    <row r="45" spans="2:29" ht="19.95" customHeight="1" x14ac:dyDescent="0.3">
      <c r="B45" s="64" t="str">
        <f>Şablon!E44</f>
        <v>IHL.3028.041/2</v>
      </c>
      <c r="C45" s="76" t="str">
        <f>VLOOKUP($B45,Şablon!$E$3:$Q$255,2,FALSE)</f>
        <v>15.06.00 (M) SERAMİK MALZEME</v>
      </c>
      <c r="D45" s="87"/>
      <c r="E45" s="76" t="str">
        <f>VLOOKUP($B45,Şablon!$E$3:$Q$255,3,FALSE)</f>
        <v>B KATEGORİ</v>
      </c>
      <c r="F45" s="77" t="str">
        <f>VLOOKUP($B45,Şablon!$E$3:$Q$255,4,FALSE)</f>
        <v>İNŞ</v>
      </c>
      <c r="G45" s="78">
        <f>I45-VLOOKUP($B45,Şablon!$E$3:$Q$255,5,FALSE)</f>
        <v>-137</v>
      </c>
      <c r="H45" s="55"/>
      <c r="I45" s="78">
        <f>K45-VLOOKUP($B45,Şablon!$E$3:$Q$255,6,FALSE)</f>
        <v>-137</v>
      </c>
      <c r="J45" s="55"/>
      <c r="K45" s="78">
        <f>M45-VLOOKUP($B45,Şablon!$E$3:$Q$255,7,FALSE)</f>
        <v>-123</v>
      </c>
      <c r="L45" s="55"/>
      <c r="M45" s="78">
        <f>O45-VLOOKUP($B45,Şablon!$E$3:$Q$255,8,FALSE)</f>
        <v>-109</v>
      </c>
      <c r="N45" s="55"/>
      <c r="O45" s="78">
        <f>Q45-VLOOKUP($B45,Şablon!$E$3:$Q$255,9,FALSE)</f>
        <v>-81</v>
      </c>
      <c r="P45" s="55"/>
      <c r="Q45" s="78">
        <f>S45-VLOOKUP($B45,Şablon!$E$3:$Q$255,10,FALSE)</f>
        <v>-74</v>
      </c>
      <c r="R45" s="55"/>
      <c r="S45" s="78">
        <f>U45-(VLOOKUP($B45,Şablon!$E$3:$Q$255,11,FALSE)+VLOOKUP($B45,Şablon!$E$3:$Q$255,12,FALSE))</f>
        <v>-67</v>
      </c>
      <c r="T45" s="55"/>
      <c r="U45" s="57"/>
      <c r="V45" s="55"/>
      <c r="W45" s="59"/>
      <c r="X45" s="60"/>
      <c r="Y45" s="60"/>
      <c r="Z45" s="60"/>
      <c r="AA45" s="60"/>
      <c r="AB45" s="60"/>
      <c r="AC45" s="136"/>
    </row>
    <row r="46" spans="2:29" ht="19.95" customHeight="1" x14ac:dyDescent="0.3">
      <c r="B46" s="64" t="str">
        <f>Şablon!E45</f>
        <v>IHL.3028.041/3</v>
      </c>
      <c r="C46" s="76" t="str">
        <f>VLOOKUP($B46,Şablon!$E$3:$Q$255,2,FALSE)</f>
        <v>15.06.00 (M) SERAMİK MALZEME</v>
      </c>
      <c r="D46" s="87"/>
      <c r="E46" s="76" t="str">
        <f>VLOOKUP($B46,Şablon!$E$3:$Q$255,3,FALSE)</f>
        <v>B KATEGORİ</v>
      </c>
      <c r="F46" s="77" t="str">
        <f>VLOOKUP($B46,Şablon!$E$3:$Q$255,4,FALSE)</f>
        <v>İNŞ</v>
      </c>
      <c r="G46" s="78">
        <f>I46-VLOOKUP($B46,Şablon!$E$3:$Q$255,5,FALSE)</f>
        <v>-137</v>
      </c>
      <c r="H46" s="55"/>
      <c r="I46" s="78">
        <f>K46-VLOOKUP($B46,Şablon!$E$3:$Q$255,6,FALSE)</f>
        <v>-137</v>
      </c>
      <c r="J46" s="55"/>
      <c r="K46" s="78">
        <f>M46-VLOOKUP($B46,Şablon!$E$3:$Q$255,7,FALSE)</f>
        <v>-123</v>
      </c>
      <c r="L46" s="55"/>
      <c r="M46" s="78">
        <f>O46-VLOOKUP($B46,Şablon!$E$3:$Q$255,8,FALSE)</f>
        <v>-109</v>
      </c>
      <c r="N46" s="55"/>
      <c r="O46" s="78">
        <f>Q46-VLOOKUP($B46,Şablon!$E$3:$Q$255,9,FALSE)</f>
        <v>-81</v>
      </c>
      <c r="P46" s="55"/>
      <c r="Q46" s="78">
        <f>S46-VLOOKUP($B46,Şablon!$E$3:$Q$255,10,FALSE)</f>
        <v>-74</v>
      </c>
      <c r="R46" s="55"/>
      <c r="S46" s="78">
        <f>U46-(VLOOKUP($B46,Şablon!$E$3:$Q$255,11,FALSE)+VLOOKUP($B46,Şablon!$E$3:$Q$255,12,FALSE))</f>
        <v>-67</v>
      </c>
      <c r="T46" s="55"/>
      <c r="U46" s="57"/>
      <c r="V46" s="55"/>
      <c r="W46" s="59"/>
      <c r="X46" s="60"/>
      <c r="Y46" s="60"/>
      <c r="Z46" s="60"/>
      <c r="AA46" s="60"/>
      <c r="AB46" s="60"/>
      <c r="AC46" s="136"/>
    </row>
    <row r="47" spans="2:29" ht="19.95" customHeight="1" x14ac:dyDescent="0.3">
      <c r="B47" s="64" t="str">
        <f>Şablon!E46</f>
        <v>IHL.3028.041/4</v>
      </c>
      <c r="C47" s="76" t="str">
        <f>VLOOKUP($B47,Şablon!$E$3:$Q$255,2,FALSE)</f>
        <v>15.06.00 (M) SERAMİK MALZEME</v>
      </c>
      <c r="D47" s="87"/>
      <c r="E47" s="76" t="str">
        <f>VLOOKUP($B47,Şablon!$E$3:$Q$255,3,FALSE)</f>
        <v>B KATEGORİ</v>
      </c>
      <c r="F47" s="77" t="str">
        <f>VLOOKUP($B47,Şablon!$E$3:$Q$255,4,FALSE)</f>
        <v>İNŞ</v>
      </c>
      <c r="G47" s="78">
        <f>I47-VLOOKUP($B47,Şablon!$E$3:$Q$255,5,FALSE)</f>
        <v>-137</v>
      </c>
      <c r="H47" s="55"/>
      <c r="I47" s="78">
        <f>K47-VLOOKUP($B47,Şablon!$E$3:$Q$255,6,FALSE)</f>
        <v>-137</v>
      </c>
      <c r="J47" s="55"/>
      <c r="K47" s="78">
        <f>M47-VLOOKUP($B47,Şablon!$E$3:$Q$255,7,FALSE)</f>
        <v>-123</v>
      </c>
      <c r="L47" s="55"/>
      <c r="M47" s="78">
        <f>O47-VLOOKUP($B47,Şablon!$E$3:$Q$255,8,FALSE)</f>
        <v>-109</v>
      </c>
      <c r="N47" s="55"/>
      <c r="O47" s="78">
        <f>Q47-VLOOKUP($B47,Şablon!$E$3:$Q$255,9,FALSE)</f>
        <v>-81</v>
      </c>
      <c r="P47" s="55"/>
      <c r="Q47" s="78">
        <f>S47-VLOOKUP($B47,Şablon!$E$3:$Q$255,10,FALSE)</f>
        <v>-74</v>
      </c>
      <c r="R47" s="55"/>
      <c r="S47" s="78">
        <f>U47-(VLOOKUP($B47,Şablon!$E$3:$Q$255,11,FALSE)+VLOOKUP($B47,Şablon!$E$3:$Q$255,12,FALSE))</f>
        <v>-67</v>
      </c>
      <c r="T47" s="55"/>
      <c r="U47" s="57"/>
      <c r="V47" s="55"/>
      <c r="W47" s="59"/>
      <c r="X47" s="60"/>
      <c r="Y47" s="60"/>
      <c r="Z47" s="60"/>
      <c r="AA47" s="60"/>
      <c r="AB47" s="60"/>
      <c r="AC47" s="136"/>
    </row>
    <row r="48" spans="2:29" ht="19.95" customHeight="1" x14ac:dyDescent="0.3">
      <c r="B48" s="64" t="str">
        <f>Şablon!E47</f>
        <v>IHL.3028.042/1</v>
      </c>
      <c r="C48" s="76" t="str">
        <f>VLOOKUP($B48,Şablon!$E$3:$Q$255,2,FALSE)</f>
        <v>15.02.00 ALÇI LEVHA, SIVA &amp; BOYA İŞLERİ</v>
      </c>
      <c r="D48" s="87"/>
      <c r="E48" s="76" t="str">
        <f>VLOOKUP($B48,Şablon!$E$3:$Q$255,3,FALSE)</f>
        <v>A KATEGORİ</v>
      </c>
      <c r="F48" s="77" t="str">
        <f>VLOOKUP($B48,Şablon!$E$3:$Q$255,4,FALSE)</f>
        <v>İNŞ</v>
      </c>
      <c r="G48" s="78">
        <f>I48-VLOOKUP($B48,Şablon!$E$3:$Q$255,5,FALSE)</f>
        <v>-94</v>
      </c>
      <c r="H48" s="55"/>
      <c r="I48" s="78">
        <f>K48-VLOOKUP($B48,Şablon!$E$3:$Q$255,6,FALSE)</f>
        <v>-94</v>
      </c>
      <c r="J48" s="55"/>
      <c r="K48" s="78">
        <f>M48-VLOOKUP($B48,Şablon!$E$3:$Q$255,7,FALSE)</f>
        <v>-80</v>
      </c>
      <c r="L48" s="55"/>
      <c r="M48" s="78">
        <f>O48-VLOOKUP($B48,Şablon!$E$3:$Q$255,8,FALSE)</f>
        <v>-66</v>
      </c>
      <c r="N48" s="55"/>
      <c r="O48" s="78">
        <f>Q48-VLOOKUP($B48,Şablon!$E$3:$Q$255,9,FALSE)</f>
        <v>-38</v>
      </c>
      <c r="P48" s="55"/>
      <c r="Q48" s="78">
        <f>S48-VLOOKUP($B48,Şablon!$E$3:$Q$255,10,FALSE)</f>
        <v>-28</v>
      </c>
      <c r="R48" s="55"/>
      <c r="S48" s="78">
        <f>U48-(VLOOKUP($B48,Şablon!$E$3:$Q$255,11,FALSE)+VLOOKUP($B48,Şablon!$E$3:$Q$255,12,FALSE))</f>
        <v>-14</v>
      </c>
      <c r="T48" s="55"/>
      <c r="U48" s="57"/>
      <c r="V48" s="55"/>
      <c r="W48" s="59"/>
      <c r="X48" s="60"/>
      <c r="Y48" s="60"/>
      <c r="Z48" s="60"/>
      <c r="AA48" s="60"/>
      <c r="AB48" s="60"/>
      <c r="AC48" s="136"/>
    </row>
    <row r="49" spans="2:29" ht="19.95" customHeight="1" x14ac:dyDescent="0.3">
      <c r="B49" s="64" t="str">
        <f>Şablon!E48</f>
        <v>IHL.3028.043/1</v>
      </c>
      <c r="C49" s="76" t="str">
        <f>VLOOKUP($B49,Şablon!$E$3:$Q$255,2,FALSE)</f>
        <v>01.17.05 KULE VİNÇ BAĞLANTI KOLLARI</v>
      </c>
      <c r="D49" s="87"/>
      <c r="E49" s="76" t="str">
        <f>VLOOKUP($B49,Şablon!$E$3:$Q$255,3,FALSE)</f>
        <v>C KATEGORİ</v>
      </c>
      <c r="F49" s="77" t="str">
        <f>VLOOKUP($B49,Şablon!$E$3:$Q$255,4,FALSE)</f>
        <v>İNŞ</v>
      </c>
      <c r="G49" s="78">
        <f>I49-VLOOKUP($B49,Şablon!$E$3:$Q$255,5,FALSE)</f>
        <v>-84</v>
      </c>
      <c r="H49" s="55"/>
      <c r="I49" s="78">
        <f>K49-VLOOKUP($B49,Şablon!$E$3:$Q$255,6,FALSE)</f>
        <v>-84</v>
      </c>
      <c r="J49" s="55"/>
      <c r="K49" s="78">
        <f>M49-VLOOKUP($B49,Şablon!$E$3:$Q$255,7,FALSE)</f>
        <v>-70</v>
      </c>
      <c r="L49" s="55"/>
      <c r="M49" s="78">
        <f>O49-VLOOKUP($B49,Şablon!$E$3:$Q$255,8,FALSE)</f>
        <v>-63</v>
      </c>
      <c r="N49" s="55"/>
      <c r="O49" s="78">
        <f>Q49-VLOOKUP($B49,Şablon!$E$3:$Q$255,9,FALSE)</f>
        <v>-49</v>
      </c>
      <c r="P49" s="55"/>
      <c r="Q49" s="78">
        <f>S49-VLOOKUP($B49,Şablon!$E$3:$Q$255,10,FALSE)</f>
        <v>-42</v>
      </c>
      <c r="R49" s="55"/>
      <c r="S49" s="78">
        <f>U49-(VLOOKUP($B49,Şablon!$E$3:$Q$255,11,FALSE)+VLOOKUP($B49,Şablon!$E$3:$Q$255,12,FALSE))</f>
        <v>-35</v>
      </c>
      <c r="T49" s="55"/>
      <c r="U49" s="57"/>
      <c r="V49" s="55"/>
      <c r="W49" s="59"/>
      <c r="X49" s="60"/>
      <c r="Y49" s="60"/>
      <c r="Z49" s="60"/>
      <c r="AA49" s="60"/>
      <c r="AB49" s="60"/>
      <c r="AC49" s="136"/>
    </row>
    <row r="50" spans="2:29" ht="19.95" customHeight="1" x14ac:dyDescent="0.3">
      <c r="B50" s="64" t="str">
        <f>Şablon!E49</f>
        <v>IHL.3028.044/1</v>
      </c>
      <c r="C50" s="76" t="str">
        <f>VLOOKUP($B50,Şablon!$E$3:$Q$255,2,FALSE)</f>
        <v>23.01.01 ISLAK HACİM YALITIM</v>
      </c>
      <c r="D50" s="87"/>
      <c r="E50" s="76" t="str">
        <f>VLOOKUP($B50,Şablon!$E$3:$Q$255,3,FALSE)</f>
        <v>A KATEGORİ</v>
      </c>
      <c r="F50" s="77" t="str">
        <f>VLOOKUP($B50,Şablon!$E$3:$Q$255,4,FALSE)</f>
        <v>İNŞ</v>
      </c>
      <c r="G50" s="78">
        <f>I50-VLOOKUP($B50,Şablon!$E$3:$Q$255,5,FALSE)</f>
        <v>-87</v>
      </c>
      <c r="H50" s="55"/>
      <c r="I50" s="78">
        <f>K50-VLOOKUP($B50,Şablon!$E$3:$Q$255,6,FALSE)</f>
        <v>-87</v>
      </c>
      <c r="J50" s="55"/>
      <c r="K50" s="78">
        <f>M50-VLOOKUP($B50,Şablon!$E$3:$Q$255,7,FALSE)</f>
        <v>-73</v>
      </c>
      <c r="L50" s="55"/>
      <c r="M50" s="78">
        <f>O50-VLOOKUP($B50,Şablon!$E$3:$Q$255,8,FALSE)</f>
        <v>-59</v>
      </c>
      <c r="N50" s="55"/>
      <c r="O50" s="78">
        <f>Q50-VLOOKUP($B50,Şablon!$E$3:$Q$255,9,FALSE)</f>
        <v>-38</v>
      </c>
      <c r="P50" s="55"/>
      <c r="Q50" s="78">
        <f>S50-VLOOKUP($B50,Şablon!$E$3:$Q$255,10,FALSE)</f>
        <v>-28</v>
      </c>
      <c r="R50" s="55"/>
      <c r="S50" s="78">
        <f>U50-(VLOOKUP($B50,Şablon!$E$3:$Q$255,11,FALSE)+VLOOKUP($B50,Şablon!$E$3:$Q$255,12,FALSE))</f>
        <v>-14</v>
      </c>
      <c r="T50" s="55"/>
      <c r="U50" s="57"/>
      <c r="V50" s="55"/>
      <c r="W50" s="59"/>
      <c r="X50" s="60"/>
      <c r="Y50" s="60"/>
      <c r="Z50" s="60"/>
      <c r="AA50" s="60"/>
      <c r="AB50" s="60"/>
      <c r="AC50" s="136"/>
    </row>
    <row r="51" spans="2:29" ht="19.95" customHeight="1" x14ac:dyDescent="0.3">
      <c r="B51" s="64" t="str">
        <f>Şablon!E50</f>
        <v>IHL.3028.045/1</v>
      </c>
      <c r="C51" s="76" t="str">
        <f>VLOOKUP($B51,Şablon!$E$3:$Q$255,2,FALSE)</f>
        <v>23.01.02 BALKON &amp; TERAS YALITIM</v>
      </c>
      <c r="D51" s="87"/>
      <c r="E51" s="76" t="str">
        <f>VLOOKUP($B51,Şablon!$E$3:$Q$255,3,FALSE)</f>
        <v>A KATEGORİ</v>
      </c>
      <c r="F51" s="77" t="str">
        <f>VLOOKUP($B51,Şablon!$E$3:$Q$255,4,FALSE)</f>
        <v>İNŞ</v>
      </c>
      <c r="G51" s="78">
        <f>I51-VLOOKUP($B51,Şablon!$E$3:$Q$255,5,FALSE)</f>
        <v>-87</v>
      </c>
      <c r="H51" s="55"/>
      <c r="I51" s="78">
        <f>K51-VLOOKUP($B51,Şablon!$E$3:$Q$255,6,FALSE)</f>
        <v>-87</v>
      </c>
      <c r="J51" s="55"/>
      <c r="K51" s="78">
        <f>M51-VLOOKUP($B51,Şablon!$E$3:$Q$255,7,FALSE)</f>
        <v>-73</v>
      </c>
      <c r="L51" s="55"/>
      <c r="M51" s="78">
        <f>O51-VLOOKUP($B51,Şablon!$E$3:$Q$255,8,FALSE)</f>
        <v>-59</v>
      </c>
      <c r="N51" s="55"/>
      <c r="O51" s="78">
        <f>Q51-VLOOKUP($B51,Şablon!$E$3:$Q$255,9,FALSE)</f>
        <v>-38</v>
      </c>
      <c r="P51" s="55"/>
      <c r="Q51" s="78">
        <f>S51-VLOOKUP($B51,Şablon!$E$3:$Q$255,10,FALSE)</f>
        <v>-28</v>
      </c>
      <c r="R51" s="55"/>
      <c r="S51" s="78">
        <f>U51-(VLOOKUP($B51,Şablon!$E$3:$Q$255,11,FALSE)+VLOOKUP($B51,Şablon!$E$3:$Q$255,12,FALSE))</f>
        <v>-14</v>
      </c>
      <c r="T51" s="55"/>
      <c r="U51" s="57"/>
      <c r="V51" s="55"/>
      <c r="W51" s="59"/>
      <c r="X51" s="60"/>
      <c r="Y51" s="60"/>
      <c r="Z51" s="60"/>
      <c r="AA51" s="60"/>
      <c r="AB51" s="60"/>
      <c r="AC51" s="136"/>
    </row>
    <row r="52" spans="2:29" ht="19.95" customHeight="1" x14ac:dyDescent="0.3">
      <c r="B52" s="64" t="str">
        <f>Şablon!E51</f>
        <v>IHL.3028.046/1</v>
      </c>
      <c r="C52" s="76" t="str">
        <f>VLOOKUP($B52,Şablon!$E$3:$Q$255,2,FALSE)</f>
        <v>29.01.01 YEŞİL ÇATI PEYZAJ İŞLERİ</v>
      </c>
      <c r="D52" s="87"/>
      <c r="E52" s="76" t="str">
        <f>VLOOKUP($B52,Şablon!$E$3:$Q$255,3,FALSE)</f>
        <v>B KATEGORİ</v>
      </c>
      <c r="F52" s="77" t="str">
        <f>VLOOKUP($B52,Şablon!$E$3:$Q$255,4,FALSE)</f>
        <v>İNŞ</v>
      </c>
      <c r="G52" s="78">
        <f>I52-VLOOKUP($B52,Şablon!$E$3:$Q$255,5,FALSE)</f>
        <v>-63</v>
      </c>
      <c r="H52" s="55"/>
      <c r="I52" s="78">
        <f>K52-VLOOKUP($B52,Şablon!$E$3:$Q$255,6,FALSE)</f>
        <v>-63</v>
      </c>
      <c r="J52" s="55"/>
      <c r="K52" s="78">
        <f>M52-VLOOKUP($B52,Şablon!$E$3:$Q$255,7,FALSE)</f>
        <v>-49</v>
      </c>
      <c r="L52" s="55"/>
      <c r="M52" s="78">
        <f>O52-VLOOKUP($B52,Şablon!$E$3:$Q$255,8,FALSE)</f>
        <v>-42</v>
      </c>
      <c r="N52" s="55"/>
      <c r="O52" s="78">
        <f>Q52-VLOOKUP($B52,Şablon!$E$3:$Q$255,9,FALSE)</f>
        <v>-28</v>
      </c>
      <c r="P52" s="55"/>
      <c r="Q52" s="78">
        <f>S52-VLOOKUP($B52,Şablon!$E$3:$Q$255,10,FALSE)</f>
        <v>-21</v>
      </c>
      <c r="R52" s="55"/>
      <c r="S52" s="78">
        <f>U52-(VLOOKUP($B52,Şablon!$E$3:$Q$255,11,FALSE)+VLOOKUP($B52,Şablon!$E$3:$Q$255,12,FALSE))</f>
        <v>-14</v>
      </c>
      <c r="T52" s="55"/>
      <c r="U52" s="57"/>
      <c r="V52" s="55"/>
      <c r="W52" s="59"/>
      <c r="X52" s="60"/>
      <c r="Y52" s="60"/>
      <c r="Z52" s="60"/>
      <c r="AA52" s="60"/>
      <c r="AB52" s="60"/>
      <c r="AC52" s="136"/>
    </row>
    <row r="53" spans="2:29" ht="19.95" customHeight="1" x14ac:dyDescent="0.3">
      <c r="B53" s="64" t="str">
        <f>Şablon!E52</f>
        <v>IHL.3028.047/1</v>
      </c>
      <c r="C53" s="76" t="str">
        <f>VLOOKUP($B53,Şablon!$E$3:$Q$255,2,FALSE)</f>
        <v>15.03.00 ŞAP İŞLERİ</v>
      </c>
      <c r="D53" s="87"/>
      <c r="E53" s="76" t="str">
        <f>VLOOKUP($B53,Şablon!$E$3:$Q$255,3,FALSE)</f>
        <v>B KATEGORİ</v>
      </c>
      <c r="F53" s="77" t="str">
        <f>VLOOKUP($B53,Şablon!$E$3:$Q$255,4,FALSE)</f>
        <v>İNŞ</v>
      </c>
      <c r="G53" s="78">
        <f>I53-VLOOKUP($B53,Şablon!$E$3:$Q$255,5,FALSE)</f>
        <v>-84</v>
      </c>
      <c r="H53" s="55"/>
      <c r="I53" s="78">
        <f>K53-VLOOKUP($B53,Şablon!$E$3:$Q$255,6,FALSE)</f>
        <v>-84</v>
      </c>
      <c r="J53" s="55"/>
      <c r="K53" s="78">
        <f>M53-VLOOKUP($B53,Şablon!$E$3:$Q$255,7,FALSE)</f>
        <v>-70</v>
      </c>
      <c r="L53" s="55"/>
      <c r="M53" s="78">
        <f>O53-VLOOKUP($B53,Şablon!$E$3:$Q$255,8,FALSE)</f>
        <v>-56</v>
      </c>
      <c r="N53" s="55"/>
      <c r="O53" s="78">
        <f>Q53-VLOOKUP($B53,Şablon!$E$3:$Q$255,9,FALSE)</f>
        <v>-28</v>
      </c>
      <c r="P53" s="55"/>
      <c r="Q53" s="78">
        <f>S53-VLOOKUP($B53,Şablon!$E$3:$Q$255,10,FALSE)</f>
        <v>-21</v>
      </c>
      <c r="R53" s="55"/>
      <c r="S53" s="78">
        <f>U53-(VLOOKUP($B53,Şablon!$E$3:$Q$255,11,FALSE)+VLOOKUP($B53,Şablon!$E$3:$Q$255,12,FALSE))</f>
        <v>-14</v>
      </c>
      <c r="T53" s="55"/>
      <c r="U53" s="57"/>
      <c r="V53" s="55"/>
      <c r="W53" s="59"/>
      <c r="X53" s="60"/>
      <c r="Y53" s="60"/>
      <c r="Z53" s="60"/>
      <c r="AA53" s="60"/>
      <c r="AB53" s="60"/>
      <c r="AC53" s="136"/>
    </row>
    <row r="54" spans="2:29" ht="19.95" customHeight="1" x14ac:dyDescent="0.3">
      <c r="B54" s="64" t="str">
        <f>Şablon!E53</f>
        <v>IHL.3028.048/1</v>
      </c>
      <c r="C54" s="76" t="str">
        <f>VLOOKUP($B54,Şablon!$E$3:$Q$255,2,FALSE)</f>
        <v>15.14.02 (M) BALKON SÜZGEÇ MALZEME TEMİNİ</v>
      </c>
      <c r="D54" s="87"/>
      <c r="E54" s="76" t="str">
        <f>VLOOKUP($B54,Şablon!$E$3:$Q$255,3,FALSE)</f>
        <v>B KATEGORİ</v>
      </c>
      <c r="F54" s="77" t="str">
        <f>VLOOKUP($B54,Şablon!$E$3:$Q$255,4,FALSE)</f>
        <v>İNŞ</v>
      </c>
      <c r="G54" s="78">
        <f>I54-VLOOKUP($B54,Şablon!$E$3:$Q$255,5,FALSE)</f>
        <v>-91</v>
      </c>
      <c r="H54" s="55"/>
      <c r="I54" s="78">
        <f>K54-VLOOKUP($B54,Şablon!$E$3:$Q$255,6,FALSE)</f>
        <v>-91</v>
      </c>
      <c r="J54" s="55"/>
      <c r="K54" s="78">
        <f>M54-VLOOKUP($B54,Şablon!$E$3:$Q$255,7,FALSE)</f>
        <v>-77</v>
      </c>
      <c r="L54" s="55"/>
      <c r="M54" s="78">
        <f>O54-VLOOKUP($B54,Şablon!$E$3:$Q$255,8,FALSE)</f>
        <v>-70</v>
      </c>
      <c r="N54" s="55"/>
      <c r="O54" s="78">
        <f>Q54-VLOOKUP($B54,Şablon!$E$3:$Q$255,9,FALSE)</f>
        <v>-49</v>
      </c>
      <c r="P54" s="55"/>
      <c r="Q54" s="78">
        <f>S54-VLOOKUP($B54,Şablon!$E$3:$Q$255,10,FALSE)</f>
        <v>-42</v>
      </c>
      <c r="R54" s="55"/>
      <c r="S54" s="78">
        <f>U54-(VLOOKUP($B54,Şablon!$E$3:$Q$255,11,FALSE)+VLOOKUP($B54,Şablon!$E$3:$Q$255,12,FALSE))</f>
        <v>-35</v>
      </c>
      <c r="T54" s="55"/>
      <c r="U54" s="57"/>
      <c r="V54" s="55"/>
      <c r="W54" s="59"/>
      <c r="X54" s="60"/>
      <c r="Y54" s="60"/>
      <c r="Z54" s="60"/>
      <c r="AA54" s="60"/>
      <c r="AB54" s="60"/>
      <c r="AC54" s="136"/>
    </row>
    <row r="55" spans="2:29" ht="19.95" customHeight="1" x14ac:dyDescent="0.3">
      <c r="B55" s="64" t="str">
        <f>Şablon!E54</f>
        <v>IHL.3028.049/1</v>
      </c>
      <c r="C55" s="76" t="str">
        <f>VLOOKUP($B55,Şablon!$E$3:$Q$255,2,FALSE)</f>
        <v>15.06.00 SERAMİK İŞLERİ</v>
      </c>
      <c r="D55" s="87"/>
      <c r="E55" s="76" t="str">
        <f>VLOOKUP($B55,Şablon!$E$3:$Q$255,3,FALSE)</f>
        <v>B KATEGORİ</v>
      </c>
      <c r="F55" s="77" t="str">
        <f>VLOOKUP($B55,Şablon!$E$3:$Q$255,4,FALSE)</f>
        <v>İNŞ</v>
      </c>
      <c r="G55" s="78">
        <f>I55-VLOOKUP($B55,Şablon!$E$3:$Q$255,5,FALSE)</f>
        <v>-77</v>
      </c>
      <c r="H55" s="55"/>
      <c r="I55" s="78">
        <f>K55-VLOOKUP($B55,Şablon!$E$3:$Q$255,6,FALSE)</f>
        <v>-77</v>
      </c>
      <c r="J55" s="55"/>
      <c r="K55" s="78">
        <f>M55-VLOOKUP($B55,Şablon!$E$3:$Q$255,7,FALSE)</f>
        <v>-63</v>
      </c>
      <c r="L55" s="55"/>
      <c r="M55" s="78">
        <f>O55-VLOOKUP($B55,Şablon!$E$3:$Q$255,8,FALSE)</f>
        <v>-49</v>
      </c>
      <c r="N55" s="55"/>
      <c r="O55" s="78">
        <f>Q55-VLOOKUP($B55,Şablon!$E$3:$Q$255,9,FALSE)</f>
        <v>-21</v>
      </c>
      <c r="P55" s="55"/>
      <c r="Q55" s="78">
        <f>S55-VLOOKUP($B55,Şablon!$E$3:$Q$255,10,FALSE)</f>
        <v>-14</v>
      </c>
      <c r="R55" s="55"/>
      <c r="S55" s="78">
        <f>U55-(VLOOKUP($B55,Şablon!$E$3:$Q$255,11,FALSE)+VLOOKUP($B55,Şablon!$E$3:$Q$255,12,FALSE))</f>
        <v>-7</v>
      </c>
      <c r="T55" s="55"/>
      <c r="U55" s="57"/>
      <c r="V55" s="55"/>
      <c r="W55" s="59"/>
      <c r="X55" s="60"/>
      <c r="Y55" s="60"/>
      <c r="Z55" s="60"/>
      <c r="AA55" s="60"/>
      <c r="AB55" s="60"/>
      <c r="AC55" s="136"/>
    </row>
    <row r="56" spans="2:29" ht="19.95" customHeight="1" x14ac:dyDescent="0.3">
      <c r="B56" s="64" t="str">
        <f>Şablon!E55</f>
        <v>IHL.3028.050/1</v>
      </c>
      <c r="C56" s="76" t="str">
        <f>VLOOKUP($B56,Şablon!$E$3:$Q$255,2,FALSE)</f>
        <v>15.06.01 PREKAST ZEMİN KAPLAMA</v>
      </c>
      <c r="D56" s="87"/>
      <c r="E56" s="76" t="str">
        <f>VLOOKUP($B56,Şablon!$E$3:$Q$255,3,FALSE)</f>
        <v>B KATEGORİ</v>
      </c>
      <c r="F56" s="77" t="str">
        <f>VLOOKUP($B56,Şablon!$E$3:$Q$255,4,FALSE)</f>
        <v>İNŞ</v>
      </c>
      <c r="G56" s="78">
        <f>I56-VLOOKUP($B56,Şablon!$E$3:$Q$255,5,FALSE)</f>
        <v>-77</v>
      </c>
      <c r="H56" s="55"/>
      <c r="I56" s="78">
        <f>K56-VLOOKUP($B56,Şablon!$E$3:$Q$255,6,FALSE)</f>
        <v>-77</v>
      </c>
      <c r="J56" s="55"/>
      <c r="K56" s="78">
        <f>M56-VLOOKUP($B56,Şablon!$E$3:$Q$255,7,FALSE)</f>
        <v>-63</v>
      </c>
      <c r="L56" s="55"/>
      <c r="M56" s="78">
        <f>O56-VLOOKUP($B56,Şablon!$E$3:$Q$255,8,FALSE)</f>
        <v>-49</v>
      </c>
      <c r="N56" s="55"/>
      <c r="O56" s="78">
        <f>Q56-VLOOKUP($B56,Şablon!$E$3:$Q$255,9,FALSE)</f>
        <v>-21</v>
      </c>
      <c r="P56" s="55"/>
      <c r="Q56" s="78">
        <f>S56-VLOOKUP($B56,Şablon!$E$3:$Q$255,10,FALSE)</f>
        <v>-14</v>
      </c>
      <c r="R56" s="55"/>
      <c r="S56" s="78">
        <f>U56-(VLOOKUP($B56,Şablon!$E$3:$Q$255,11,FALSE)+VLOOKUP($B56,Şablon!$E$3:$Q$255,12,FALSE))</f>
        <v>-7</v>
      </c>
      <c r="T56" s="55"/>
      <c r="U56" s="57"/>
      <c r="V56" s="55"/>
      <c r="W56" s="59"/>
      <c r="X56" s="60"/>
      <c r="Y56" s="60"/>
      <c r="Z56" s="60"/>
      <c r="AA56" s="60"/>
      <c r="AB56" s="60"/>
      <c r="AC56" s="136"/>
    </row>
    <row r="57" spans="2:29" ht="19.95" customHeight="1" x14ac:dyDescent="0.3">
      <c r="B57" s="64" t="str">
        <f>Şablon!E56</f>
        <v>IHL.3028.051/1</v>
      </c>
      <c r="C57" s="76" t="str">
        <f>VLOOKUP($B57,Şablon!$E$3:$Q$255,2,FALSE)</f>
        <v>15.06.01 (M) PREKAST BASAMAK MALZEME</v>
      </c>
      <c r="D57" s="87"/>
      <c r="E57" s="76" t="str">
        <f>VLOOKUP($B57,Şablon!$E$3:$Q$255,3,FALSE)</f>
        <v>B KATEGORİ</v>
      </c>
      <c r="F57" s="77" t="str">
        <f>VLOOKUP($B57,Şablon!$E$3:$Q$255,4,FALSE)</f>
        <v>İNŞ</v>
      </c>
      <c r="G57" s="78">
        <f>I57-VLOOKUP($B57,Şablon!$E$3:$Q$255,5,FALSE)</f>
        <v>-91</v>
      </c>
      <c r="H57" s="55"/>
      <c r="I57" s="78">
        <f>K57-VLOOKUP($B57,Şablon!$E$3:$Q$255,6,FALSE)</f>
        <v>-91</v>
      </c>
      <c r="J57" s="55"/>
      <c r="K57" s="78">
        <f>M57-VLOOKUP($B57,Şablon!$E$3:$Q$255,7,FALSE)</f>
        <v>-77</v>
      </c>
      <c r="L57" s="55"/>
      <c r="M57" s="78">
        <f>O57-VLOOKUP($B57,Şablon!$E$3:$Q$255,8,FALSE)</f>
        <v>-70</v>
      </c>
      <c r="N57" s="55"/>
      <c r="O57" s="78">
        <f>Q57-VLOOKUP($B57,Şablon!$E$3:$Q$255,9,FALSE)</f>
        <v>-49</v>
      </c>
      <c r="P57" s="55"/>
      <c r="Q57" s="78">
        <f>S57-VLOOKUP($B57,Şablon!$E$3:$Q$255,10,FALSE)</f>
        <v>-42</v>
      </c>
      <c r="R57" s="55"/>
      <c r="S57" s="78">
        <f>U57-(VLOOKUP($B57,Şablon!$E$3:$Q$255,11,FALSE)+VLOOKUP($B57,Şablon!$E$3:$Q$255,12,FALSE))</f>
        <v>-35</v>
      </c>
      <c r="T57" s="55"/>
      <c r="U57" s="57"/>
      <c r="V57" s="55"/>
      <c r="W57" s="59"/>
      <c r="X57" s="60"/>
      <c r="Y57" s="60"/>
      <c r="Z57" s="60"/>
      <c r="AA57" s="60"/>
      <c r="AB57" s="60"/>
      <c r="AC57" s="136"/>
    </row>
    <row r="58" spans="2:29" ht="19.95" customHeight="1" x14ac:dyDescent="0.3">
      <c r="B58" s="64" t="str">
        <f>Şablon!E57</f>
        <v>IHL.3028.052/1</v>
      </c>
      <c r="C58" s="76" t="str">
        <f>VLOOKUP($B58,Şablon!$E$3:$Q$255,2,FALSE)</f>
        <v>15.06.04 DOĞALTAŞ ZEMİN KAPLAMA İŞLERİ</v>
      </c>
      <c r="D58" s="87"/>
      <c r="E58" s="76" t="str">
        <f>VLOOKUP($B58,Şablon!$E$3:$Q$255,3,FALSE)</f>
        <v>B KATEGORİ</v>
      </c>
      <c r="F58" s="77" t="str">
        <f>VLOOKUP($B58,Şablon!$E$3:$Q$255,4,FALSE)</f>
        <v>İNŞ</v>
      </c>
      <c r="G58" s="78">
        <f>I58-VLOOKUP($B58,Şablon!$E$3:$Q$255,5,FALSE)</f>
        <v>-84</v>
      </c>
      <c r="H58" s="55"/>
      <c r="I58" s="78">
        <f>K58-VLOOKUP($B58,Şablon!$E$3:$Q$255,6,FALSE)</f>
        <v>-84</v>
      </c>
      <c r="J58" s="55"/>
      <c r="K58" s="78">
        <f>M58-VLOOKUP($B58,Şablon!$E$3:$Q$255,7,FALSE)</f>
        <v>-70</v>
      </c>
      <c r="L58" s="55"/>
      <c r="M58" s="78">
        <f>O58-VLOOKUP($B58,Şablon!$E$3:$Q$255,8,FALSE)</f>
        <v>-63</v>
      </c>
      <c r="N58" s="55"/>
      <c r="O58" s="78">
        <f>Q58-VLOOKUP($B58,Şablon!$E$3:$Q$255,9,FALSE)</f>
        <v>-35</v>
      </c>
      <c r="P58" s="55"/>
      <c r="Q58" s="78">
        <f>S58-VLOOKUP($B58,Şablon!$E$3:$Q$255,10,FALSE)</f>
        <v>-28</v>
      </c>
      <c r="R58" s="55"/>
      <c r="S58" s="78">
        <f>U58-(VLOOKUP($B58,Şablon!$E$3:$Q$255,11,FALSE)+VLOOKUP($B58,Şablon!$E$3:$Q$255,12,FALSE))</f>
        <v>-21</v>
      </c>
      <c r="T58" s="55"/>
      <c r="U58" s="57"/>
      <c r="V58" s="55"/>
      <c r="W58" s="59"/>
      <c r="X58" s="60"/>
      <c r="Y58" s="60"/>
      <c r="Z58" s="60"/>
      <c r="AA58" s="60"/>
      <c r="AB58" s="60"/>
      <c r="AC58" s="136"/>
    </row>
    <row r="59" spans="2:29" ht="19.95" customHeight="1" x14ac:dyDescent="0.3">
      <c r="B59" s="64" t="str">
        <f>Şablon!E58</f>
        <v>IHL.3028.053/1</v>
      </c>
      <c r="C59" s="76" t="str">
        <f>VLOOKUP($B59,Şablon!$E$3:$Q$255,2,FALSE)</f>
        <v xml:space="preserve">15.09.00 (M) DENİZLİK MALZEME </v>
      </c>
      <c r="D59" s="87"/>
      <c r="E59" s="76" t="str">
        <f>VLOOKUP($B59,Şablon!$E$3:$Q$255,3,FALSE)</f>
        <v>B KATEGORİ</v>
      </c>
      <c r="F59" s="77" t="str">
        <f>VLOOKUP($B59,Şablon!$E$3:$Q$255,4,FALSE)</f>
        <v>İNŞ</v>
      </c>
      <c r="G59" s="78">
        <f>I59-VLOOKUP($B59,Şablon!$E$3:$Q$255,5,FALSE)</f>
        <v>-84</v>
      </c>
      <c r="H59" s="55"/>
      <c r="I59" s="78">
        <f>K59-VLOOKUP($B59,Şablon!$E$3:$Q$255,6,FALSE)</f>
        <v>-84</v>
      </c>
      <c r="J59" s="55"/>
      <c r="K59" s="78">
        <f>M59-VLOOKUP($B59,Şablon!$E$3:$Q$255,7,FALSE)</f>
        <v>-70</v>
      </c>
      <c r="L59" s="55"/>
      <c r="M59" s="78">
        <f>O59-VLOOKUP($B59,Şablon!$E$3:$Q$255,8,FALSE)</f>
        <v>-63</v>
      </c>
      <c r="N59" s="55"/>
      <c r="O59" s="78">
        <f>Q59-VLOOKUP($B59,Şablon!$E$3:$Q$255,9,FALSE)</f>
        <v>-49</v>
      </c>
      <c r="P59" s="55"/>
      <c r="Q59" s="78">
        <f>S59-VLOOKUP($B59,Şablon!$E$3:$Q$255,10,FALSE)</f>
        <v>-42</v>
      </c>
      <c r="R59" s="55"/>
      <c r="S59" s="78">
        <f>U59-(VLOOKUP($B59,Şablon!$E$3:$Q$255,11,FALSE)+VLOOKUP($B59,Şablon!$E$3:$Q$255,12,FALSE))</f>
        <v>-35</v>
      </c>
      <c r="T59" s="55"/>
      <c r="U59" s="57"/>
      <c r="V59" s="55"/>
      <c r="W59" s="59"/>
      <c r="X59" s="60"/>
      <c r="Y59" s="60"/>
      <c r="Z59" s="60"/>
      <c r="AA59" s="60"/>
      <c r="AB59" s="60"/>
      <c r="AC59" s="136"/>
    </row>
    <row r="60" spans="2:29" ht="19.95" customHeight="1" x14ac:dyDescent="0.3">
      <c r="B60" s="64" t="str">
        <f>Şablon!E59</f>
        <v>IHL.3028.054/1</v>
      </c>
      <c r="C60" s="76" t="str">
        <f>VLOOKUP($B60,Şablon!$E$3:$Q$255,2,FALSE)</f>
        <v>21.01.00 ÇELİK KAPI</v>
      </c>
      <c r="D60" s="87"/>
      <c r="E60" s="76" t="str">
        <f>VLOOKUP($B60,Şablon!$E$3:$Q$255,3,FALSE)</f>
        <v>A KATEGORİ</v>
      </c>
      <c r="F60" s="77" t="str">
        <f>VLOOKUP($B60,Şablon!$E$3:$Q$255,4,FALSE)</f>
        <v>İNŞ</v>
      </c>
      <c r="G60" s="78">
        <f>I60-VLOOKUP($B60,Şablon!$E$3:$Q$255,5,FALSE)</f>
        <v>-139</v>
      </c>
      <c r="H60" s="55"/>
      <c r="I60" s="78">
        <f>K60-VLOOKUP($B60,Şablon!$E$3:$Q$255,6,FALSE)</f>
        <v>-139</v>
      </c>
      <c r="J60" s="55"/>
      <c r="K60" s="78">
        <f>M60-VLOOKUP($B60,Şablon!$E$3:$Q$255,7,FALSE)</f>
        <v>-125</v>
      </c>
      <c r="L60" s="55"/>
      <c r="M60" s="78">
        <f>O60-VLOOKUP($B60,Şablon!$E$3:$Q$255,8,FALSE)</f>
        <v>-118</v>
      </c>
      <c r="N60" s="55"/>
      <c r="O60" s="78">
        <f>Q60-VLOOKUP($B60,Şablon!$E$3:$Q$255,9,FALSE)</f>
        <v>-97</v>
      </c>
      <c r="P60" s="55"/>
      <c r="Q60" s="78">
        <f>S60-VLOOKUP($B60,Şablon!$E$3:$Q$255,10,FALSE)</f>
        <v>-87</v>
      </c>
      <c r="R60" s="55"/>
      <c r="S60" s="78">
        <f>U60-(VLOOKUP($B60,Şablon!$E$3:$Q$255,11,FALSE)+VLOOKUP($B60,Şablon!$E$3:$Q$255,12,FALSE))</f>
        <v>-73</v>
      </c>
      <c r="T60" s="55"/>
      <c r="U60" s="57"/>
      <c r="V60" s="55"/>
      <c r="W60" s="59"/>
      <c r="X60" s="60"/>
      <c r="Y60" s="60"/>
      <c r="Z60" s="60"/>
      <c r="AA60" s="60"/>
      <c r="AB60" s="60"/>
      <c r="AC60" s="136"/>
    </row>
    <row r="61" spans="2:29" ht="19.95" customHeight="1" x14ac:dyDescent="0.3">
      <c r="B61" s="64" t="str">
        <f>Şablon!E60</f>
        <v>IHL.3028.055/1</v>
      </c>
      <c r="C61" s="76" t="str">
        <f>VLOOKUP($B61,Şablon!$E$3:$Q$255,2,FALSE)</f>
        <v>21.02.00 YANGIN KAPISI &amp; ŞAFT KAPAĞI</v>
      </c>
      <c r="D61" s="87"/>
      <c r="E61" s="76" t="str">
        <f>VLOOKUP($B61,Şablon!$E$3:$Q$255,3,FALSE)</f>
        <v>B KATEGORİ</v>
      </c>
      <c r="F61" s="77" t="str">
        <f>VLOOKUP($B61,Şablon!$E$3:$Q$255,4,FALSE)</f>
        <v>İNŞ</v>
      </c>
      <c r="G61" s="78">
        <f>I61-VLOOKUP($B61,Şablon!$E$3:$Q$255,5,FALSE)</f>
        <v>-136</v>
      </c>
      <c r="H61" s="55"/>
      <c r="I61" s="78">
        <f>K61-VLOOKUP($B61,Şablon!$E$3:$Q$255,6,FALSE)</f>
        <v>-136</v>
      </c>
      <c r="J61" s="55"/>
      <c r="K61" s="78">
        <f>M61-VLOOKUP($B61,Şablon!$E$3:$Q$255,7,FALSE)</f>
        <v>-122</v>
      </c>
      <c r="L61" s="55"/>
      <c r="M61" s="78">
        <f>O61-VLOOKUP($B61,Şablon!$E$3:$Q$255,8,FALSE)</f>
        <v>-115</v>
      </c>
      <c r="N61" s="55"/>
      <c r="O61" s="78">
        <f>Q61-VLOOKUP($B61,Şablon!$E$3:$Q$255,9,FALSE)</f>
        <v>-94</v>
      </c>
      <c r="P61" s="55"/>
      <c r="Q61" s="78">
        <f>S61-VLOOKUP($B61,Şablon!$E$3:$Q$255,10,FALSE)</f>
        <v>-87</v>
      </c>
      <c r="R61" s="55"/>
      <c r="S61" s="78">
        <f>U61-(VLOOKUP($B61,Şablon!$E$3:$Q$255,11,FALSE)+VLOOKUP($B61,Şablon!$E$3:$Q$255,12,FALSE))</f>
        <v>-73</v>
      </c>
      <c r="T61" s="55"/>
      <c r="U61" s="57"/>
      <c r="V61" s="55"/>
      <c r="W61" s="59"/>
      <c r="X61" s="60"/>
      <c r="Y61" s="60"/>
      <c r="Z61" s="60"/>
      <c r="AA61" s="60"/>
      <c r="AB61" s="60"/>
      <c r="AC61" s="136"/>
    </row>
    <row r="62" spans="2:29" ht="19.95" customHeight="1" x14ac:dyDescent="0.3">
      <c r="B62" s="64" t="str">
        <f>Şablon!E61</f>
        <v>IHL.3028.056/1</v>
      </c>
      <c r="C62" s="76" t="str">
        <f>VLOOKUP($B62,Şablon!$E$3:$Q$255,2,FALSE)</f>
        <v>15.14.00 (M) DUŞ KAROSU MALZEME TEMİNİ</v>
      </c>
      <c r="D62" s="87"/>
      <c r="E62" s="76" t="str">
        <f>VLOOKUP($B62,Şablon!$E$3:$Q$255,3,FALSE)</f>
        <v>B KATEGORİ</v>
      </c>
      <c r="F62" s="77" t="str">
        <f>VLOOKUP($B62,Şablon!$E$3:$Q$255,4,FALSE)</f>
        <v>İNŞ</v>
      </c>
      <c r="G62" s="78">
        <f>I62-VLOOKUP($B62,Şablon!$E$3:$Q$255,5,FALSE)</f>
        <v>-101</v>
      </c>
      <c r="H62" s="55"/>
      <c r="I62" s="78">
        <f>K62-VLOOKUP($B62,Şablon!$E$3:$Q$255,6,FALSE)</f>
        <v>-101</v>
      </c>
      <c r="J62" s="55"/>
      <c r="K62" s="78">
        <f>M62-VLOOKUP($B62,Şablon!$E$3:$Q$255,7,FALSE)</f>
        <v>-87</v>
      </c>
      <c r="L62" s="55"/>
      <c r="M62" s="78">
        <f>O62-VLOOKUP($B62,Şablon!$E$3:$Q$255,8,FALSE)</f>
        <v>-80</v>
      </c>
      <c r="N62" s="55"/>
      <c r="O62" s="78">
        <f>Q62-VLOOKUP($B62,Şablon!$E$3:$Q$255,9,FALSE)</f>
        <v>-66</v>
      </c>
      <c r="P62" s="55"/>
      <c r="Q62" s="78">
        <f>S62-VLOOKUP($B62,Şablon!$E$3:$Q$255,10,FALSE)</f>
        <v>-59</v>
      </c>
      <c r="R62" s="55"/>
      <c r="S62" s="78">
        <f>U62-(VLOOKUP($B62,Şablon!$E$3:$Q$255,11,FALSE)+VLOOKUP($B62,Şablon!$E$3:$Q$255,12,FALSE))</f>
        <v>-52</v>
      </c>
      <c r="T62" s="55"/>
      <c r="U62" s="57"/>
      <c r="V62" s="55"/>
      <c r="W62" s="59"/>
      <c r="X62" s="60"/>
      <c r="Y62" s="60"/>
      <c r="Z62" s="60"/>
      <c r="AA62" s="60"/>
      <c r="AB62" s="60"/>
      <c r="AC62" s="136"/>
    </row>
    <row r="63" spans="2:29" ht="19.95" customHeight="1" x14ac:dyDescent="0.3">
      <c r="B63" s="64" t="str">
        <f>Şablon!E62</f>
        <v>IHL.3028.057/1</v>
      </c>
      <c r="C63" s="76" t="str">
        <f>VLOOKUP($B63,Şablon!$E$3:$Q$255,2,FALSE)</f>
        <v>25.01.00 MUTFAK DOLABI</v>
      </c>
      <c r="D63" s="87"/>
      <c r="E63" s="76" t="str">
        <f>VLOOKUP($B63,Şablon!$E$3:$Q$255,3,FALSE)</f>
        <v>A KATEGORİ</v>
      </c>
      <c r="F63" s="77" t="str">
        <f>VLOOKUP($B63,Şablon!$E$3:$Q$255,4,FALSE)</f>
        <v>İNŞ</v>
      </c>
      <c r="G63" s="78">
        <f>I63-VLOOKUP($B63,Şablon!$E$3:$Q$255,5,FALSE)</f>
        <v>-192</v>
      </c>
      <c r="H63" s="55"/>
      <c r="I63" s="78">
        <f>K63-VLOOKUP($B63,Şablon!$E$3:$Q$255,6,FALSE)</f>
        <v>-192</v>
      </c>
      <c r="J63" s="55"/>
      <c r="K63" s="78">
        <f>M63-VLOOKUP($B63,Şablon!$E$3:$Q$255,7,FALSE)</f>
        <v>-178</v>
      </c>
      <c r="L63" s="55"/>
      <c r="M63" s="78">
        <f>O63-VLOOKUP($B63,Şablon!$E$3:$Q$255,8,FALSE)</f>
        <v>-164</v>
      </c>
      <c r="N63" s="55"/>
      <c r="O63" s="78">
        <f>Q63-VLOOKUP($B63,Şablon!$E$3:$Q$255,9,FALSE)</f>
        <v>-119</v>
      </c>
      <c r="P63" s="55"/>
      <c r="Q63" s="78">
        <f>S63-VLOOKUP($B63,Şablon!$E$3:$Q$255,10,FALSE)</f>
        <v>-109</v>
      </c>
      <c r="R63" s="55"/>
      <c r="S63" s="78">
        <f>U63-(VLOOKUP($B63,Şablon!$E$3:$Q$255,11,FALSE)+VLOOKUP($B63,Şablon!$E$3:$Q$255,12,FALSE))</f>
        <v>-88</v>
      </c>
      <c r="T63" s="55"/>
      <c r="U63" s="57"/>
      <c r="V63" s="55"/>
      <c r="W63" s="59"/>
      <c r="X63" s="60"/>
      <c r="Y63" s="60"/>
      <c r="Z63" s="60"/>
      <c r="AA63" s="60"/>
      <c r="AB63" s="60"/>
      <c r="AC63" s="136"/>
    </row>
    <row r="64" spans="2:29" ht="19.95" customHeight="1" x14ac:dyDescent="0.3">
      <c r="B64" s="64" t="str">
        <f>Şablon!E63</f>
        <v>IHL.3028.058/1</v>
      </c>
      <c r="C64" s="76" t="str">
        <f>VLOOKUP($B64,Şablon!$E$3:$Q$255,2,FALSE)</f>
        <v>15.14.07 (M) ANKASTRE CİHAZ MALZEME TEMİNİ</v>
      </c>
      <c r="D64" s="87"/>
      <c r="E64" s="76" t="str">
        <f>VLOOKUP($B64,Şablon!$E$3:$Q$255,3,FALSE)</f>
        <v>A KATEGORİ</v>
      </c>
      <c r="F64" s="77" t="str">
        <f>VLOOKUP($B64,Şablon!$E$3:$Q$255,4,FALSE)</f>
        <v>İNŞ</v>
      </c>
      <c r="G64" s="78">
        <f>I64-VLOOKUP($B64,Şablon!$E$3:$Q$255,5,FALSE)</f>
        <v>-156</v>
      </c>
      <c r="H64" s="55"/>
      <c r="I64" s="78">
        <f>K64-VLOOKUP($B64,Şablon!$E$3:$Q$255,6,FALSE)</f>
        <v>-156</v>
      </c>
      <c r="J64" s="55"/>
      <c r="K64" s="78">
        <f>M64-VLOOKUP($B64,Şablon!$E$3:$Q$255,7,FALSE)</f>
        <v>-142</v>
      </c>
      <c r="L64" s="55"/>
      <c r="M64" s="78">
        <f>O64-VLOOKUP($B64,Şablon!$E$3:$Q$255,8,FALSE)</f>
        <v>-135</v>
      </c>
      <c r="N64" s="55"/>
      <c r="O64" s="78">
        <f>Q64-VLOOKUP($B64,Şablon!$E$3:$Q$255,9,FALSE)</f>
        <v>-121</v>
      </c>
      <c r="P64" s="55"/>
      <c r="Q64" s="78">
        <f>S64-VLOOKUP($B64,Şablon!$E$3:$Q$255,10,FALSE)</f>
        <v>-111</v>
      </c>
      <c r="R64" s="55"/>
      <c r="S64" s="78">
        <f>U64-(VLOOKUP($B64,Şablon!$E$3:$Q$255,11,FALSE)+VLOOKUP($B64,Şablon!$E$3:$Q$255,12,FALSE))</f>
        <v>-97</v>
      </c>
      <c r="T64" s="55"/>
      <c r="U64" s="57"/>
      <c r="V64" s="55"/>
      <c r="W64" s="59"/>
      <c r="X64" s="60"/>
      <c r="Y64" s="60"/>
      <c r="Z64" s="60"/>
      <c r="AA64" s="60"/>
      <c r="AB64" s="60"/>
      <c r="AC64" s="136"/>
    </row>
    <row r="65" spans="2:29" ht="19.95" customHeight="1" x14ac:dyDescent="0.3">
      <c r="B65" s="64" t="str">
        <f>Şablon!E64</f>
        <v>IHL.3028.059/1</v>
      </c>
      <c r="C65" s="76" t="str">
        <f>VLOOKUP($B65,Şablon!$E$3:$Q$255,2,FALSE)</f>
        <v>25.02.00 (M) KAYAR KAPI MEKANİZMASI</v>
      </c>
      <c r="D65" s="87"/>
      <c r="E65" s="76" t="str">
        <f>VLOOKUP($B65,Şablon!$E$3:$Q$255,3,FALSE)</f>
        <v>B KATEGORİ</v>
      </c>
      <c r="F65" s="77" t="str">
        <f>VLOOKUP($B65,Şablon!$E$3:$Q$255,4,FALSE)</f>
        <v>İNŞ</v>
      </c>
      <c r="G65" s="78">
        <f>I65-VLOOKUP($B65,Şablon!$E$3:$Q$255,5,FALSE)</f>
        <v>-91</v>
      </c>
      <c r="H65" s="55"/>
      <c r="I65" s="78">
        <f>K65-VLOOKUP($B65,Şablon!$E$3:$Q$255,6,FALSE)</f>
        <v>-91</v>
      </c>
      <c r="J65" s="55"/>
      <c r="K65" s="78">
        <f>M65-VLOOKUP($B65,Şablon!$E$3:$Q$255,7,FALSE)</f>
        <v>-77</v>
      </c>
      <c r="L65" s="55"/>
      <c r="M65" s="78">
        <f>O65-VLOOKUP($B65,Şablon!$E$3:$Q$255,8,FALSE)</f>
        <v>-70</v>
      </c>
      <c r="N65" s="55"/>
      <c r="O65" s="78">
        <f>Q65-VLOOKUP($B65,Şablon!$E$3:$Q$255,9,FALSE)</f>
        <v>-49</v>
      </c>
      <c r="P65" s="55"/>
      <c r="Q65" s="78">
        <f>S65-VLOOKUP($B65,Şablon!$E$3:$Q$255,10,FALSE)</f>
        <v>-42</v>
      </c>
      <c r="R65" s="55"/>
      <c r="S65" s="78">
        <f>U65-(VLOOKUP($B65,Şablon!$E$3:$Q$255,11,FALSE)+VLOOKUP($B65,Şablon!$E$3:$Q$255,12,FALSE))</f>
        <v>-35</v>
      </c>
      <c r="T65" s="55"/>
      <c r="U65" s="57"/>
      <c r="V65" s="55"/>
      <c r="W65" s="59"/>
      <c r="X65" s="60"/>
      <c r="Y65" s="60"/>
      <c r="Z65" s="60"/>
      <c r="AA65" s="60"/>
      <c r="AB65" s="60"/>
      <c r="AC65" s="136"/>
    </row>
    <row r="66" spans="2:29" ht="19.95" customHeight="1" x14ac:dyDescent="0.3">
      <c r="B66" s="64" t="str">
        <f>Şablon!E65</f>
        <v>IHL.3028.060/1</v>
      </c>
      <c r="C66" s="76" t="str">
        <f>VLOOKUP($B66,Şablon!$E$3:$Q$255,2,FALSE)</f>
        <v>19.00.01 BMU TEMİZLİK SEPETİ</v>
      </c>
      <c r="D66" s="87"/>
      <c r="E66" s="76" t="str">
        <f>VLOOKUP($B66,Şablon!$E$3:$Q$255,3,FALSE)</f>
        <v>B KATEGORİ</v>
      </c>
      <c r="F66" s="77" t="str">
        <f>VLOOKUP($B66,Şablon!$E$3:$Q$255,4,FALSE)</f>
        <v>İNŞ</v>
      </c>
      <c r="G66" s="78">
        <f>I66-VLOOKUP($B66,Şablon!$E$3:$Q$255,5,FALSE)</f>
        <v>-126</v>
      </c>
      <c r="H66" s="55"/>
      <c r="I66" s="78">
        <f>K66-VLOOKUP($B66,Şablon!$E$3:$Q$255,6,FALSE)</f>
        <v>-126</v>
      </c>
      <c r="J66" s="55"/>
      <c r="K66" s="78">
        <f>M66-VLOOKUP($B66,Şablon!$E$3:$Q$255,7,FALSE)</f>
        <v>-112</v>
      </c>
      <c r="L66" s="55"/>
      <c r="M66" s="78">
        <f>O66-VLOOKUP($B66,Şablon!$E$3:$Q$255,8,FALSE)</f>
        <v>-98</v>
      </c>
      <c r="N66" s="55"/>
      <c r="O66" s="78">
        <f>Q66-VLOOKUP($B66,Şablon!$E$3:$Q$255,9,FALSE)</f>
        <v>-70</v>
      </c>
      <c r="P66" s="55"/>
      <c r="Q66" s="78">
        <f>S66-VLOOKUP($B66,Şablon!$E$3:$Q$255,10,FALSE)</f>
        <v>-63</v>
      </c>
      <c r="R66" s="55"/>
      <c r="S66" s="78">
        <f>U66-(VLOOKUP($B66,Şablon!$E$3:$Q$255,11,FALSE)+VLOOKUP($B66,Şablon!$E$3:$Q$255,12,FALSE))</f>
        <v>-42</v>
      </c>
      <c r="T66" s="55"/>
      <c r="U66" s="57"/>
      <c r="V66" s="55"/>
      <c r="W66" s="59"/>
      <c r="X66" s="60"/>
      <c r="Y66" s="60"/>
      <c r="Z66" s="60"/>
      <c r="AA66" s="60"/>
      <c r="AB66" s="60"/>
      <c r="AC66" s="136"/>
    </row>
    <row r="67" spans="2:29" ht="19.95" customHeight="1" x14ac:dyDescent="0.3">
      <c r="B67" s="64" t="str">
        <f>Şablon!E66</f>
        <v>IHL.3028.061/1</v>
      </c>
      <c r="C67" s="76" t="str">
        <f>VLOOKUP($B67,Şablon!$E$3:$Q$255,2,FALSE)</f>
        <v>13.02.00 ÇELİK KONSTRÜKSİYON</v>
      </c>
      <c r="D67" s="87"/>
      <c r="E67" s="76" t="str">
        <f>VLOOKUP($B67,Şablon!$E$3:$Q$255,3,FALSE)</f>
        <v>A KATEGORİ</v>
      </c>
      <c r="F67" s="77" t="str">
        <f>VLOOKUP($B67,Şablon!$E$3:$Q$255,4,FALSE)</f>
        <v>İNŞ</v>
      </c>
      <c r="G67" s="78">
        <f>I67-VLOOKUP($B67,Şablon!$E$3:$Q$255,5,FALSE)</f>
        <v>-122</v>
      </c>
      <c r="H67" s="55"/>
      <c r="I67" s="78">
        <f>K67-VLOOKUP($B67,Şablon!$E$3:$Q$255,6,FALSE)</f>
        <v>-122</v>
      </c>
      <c r="J67" s="55"/>
      <c r="K67" s="78">
        <f>M67-VLOOKUP($B67,Şablon!$E$3:$Q$255,7,FALSE)</f>
        <v>-108</v>
      </c>
      <c r="L67" s="55"/>
      <c r="M67" s="78">
        <f>O67-VLOOKUP($B67,Şablon!$E$3:$Q$255,8,FALSE)</f>
        <v>-94</v>
      </c>
      <c r="N67" s="55"/>
      <c r="O67" s="78">
        <f>Q67-VLOOKUP($B67,Şablon!$E$3:$Q$255,9,FALSE)</f>
        <v>-66</v>
      </c>
      <c r="P67" s="55"/>
      <c r="Q67" s="78">
        <f>S67-VLOOKUP($B67,Şablon!$E$3:$Q$255,10,FALSE)</f>
        <v>-56</v>
      </c>
      <c r="R67" s="55"/>
      <c r="S67" s="78">
        <f>U67-(VLOOKUP($B67,Şablon!$E$3:$Q$255,11,FALSE)+VLOOKUP($B67,Şablon!$E$3:$Q$255,12,FALSE))</f>
        <v>-42</v>
      </c>
      <c r="T67" s="55"/>
      <c r="U67" s="57"/>
      <c r="V67" s="55"/>
      <c r="W67" s="59"/>
      <c r="X67" s="60"/>
      <c r="Y67" s="60"/>
      <c r="Z67" s="60"/>
      <c r="AA67" s="60"/>
      <c r="AB67" s="60"/>
      <c r="AC67" s="136"/>
    </row>
    <row r="68" spans="2:29" ht="19.95" customHeight="1" x14ac:dyDescent="0.3">
      <c r="B68" s="64" t="str">
        <f>Şablon!E67</f>
        <v>IHL.3028.062/1</v>
      </c>
      <c r="C68" s="76" t="str">
        <f>VLOOKUP($B68,Şablon!$E$3:$Q$255,2,FALSE)</f>
        <v>15.10.00 ALÜMİNYUM KORKULUK</v>
      </c>
      <c r="D68" s="87"/>
      <c r="E68" s="76" t="str">
        <f>VLOOKUP($B68,Şablon!$E$3:$Q$255,3,FALSE)</f>
        <v>B KATEGORİ</v>
      </c>
      <c r="F68" s="77" t="str">
        <f>VLOOKUP($B68,Şablon!$E$3:$Q$255,4,FALSE)</f>
        <v>İNŞ</v>
      </c>
      <c r="G68" s="78">
        <f>I68-VLOOKUP($B68,Şablon!$E$3:$Q$255,5,FALSE)</f>
        <v>-91</v>
      </c>
      <c r="H68" s="55"/>
      <c r="I68" s="78">
        <f>K68-VLOOKUP($B68,Şablon!$E$3:$Q$255,6,FALSE)</f>
        <v>-91</v>
      </c>
      <c r="J68" s="55"/>
      <c r="K68" s="78">
        <f>M68-VLOOKUP($B68,Şablon!$E$3:$Q$255,7,FALSE)</f>
        <v>-77</v>
      </c>
      <c r="L68" s="55"/>
      <c r="M68" s="78">
        <f>O68-VLOOKUP($B68,Şablon!$E$3:$Q$255,8,FALSE)</f>
        <v>-70</v>
      </c>
      <c r="N68" s="55"/>
      <c r="O68" s="78">
        <f>Q68-VLOOKUP($B68,Şablon!$E$3:$Q$255,9,FALSE)</f>
        <v>-49</v>
      </c>
      <c r="P68" s="55"/>
      <c r="Q68" s="78">
        <f>S68-VLOOKUP($B68,Şablon!$E$3:$Q$255,10,FALSE)</f>
        <v>-42</v>
      </c>
      <c r="R68" s="55"/>
      <c r="S68" s="78">
        <f>U68-(VLOOKUP($B68,Şablon!$E$3:$Q$255,11,FALSE)+VLOOKUP($B68,Şablon!$E$3:$Q$255,12,FALSE))</f>
        <v>-28</v>
      </c>
      <c r="T68" s="55"/>
      <c r="U68" s="57"/>
      <c r="V68" s="55"/>
      <c r="W68" s="59"/>
      <c r="X68" s="61"/>
      <c r="Y68" s="60"/>
      <c r="Z68" s="60"/>
      <c r="AA68" s="60"/>
      <c r="AB68" s="60"/>
      <c r="AC68" s="136"/>
    </row>
    <row r="69" spans="2:29" ht="19.95" customHeight="1" x14ac:dyDescent="0.3">
      <c r="B69" s="64" t="str">
        <f>Şablon!E68</f>
        <v>IHL.3028.063/1</v>
      </c>
      <c r="C69" s="76" t="str">
        <f>VLOOKUP($B69,Şablon!$E$3:$Q$255,2,FALSE)</f>
        <v>23.04.00 PASİF YANGIN DURUDURU</v>
      </c>
      <c r="D69" s="87"/>
      <c r="E69" s="76" t="str">
        <f>VLOOKUP($B69,Şablon!$E$3:$Q$255,3,FALSE)</f>
        <v>B KATEGORİ</v>
      </c>
      <c r="F69" s="77" t="str">
        <f>VLOOKUP($B69,Şablon!$E$3:$Q$255,4,FALSE)</f>
        <v>İNŞ</v>
      </c>
      <c r="G69" s="78">
        <f>I69-VLOOKUP($B69,Şablon!$E$3:$Q$255,5,FALSE)</f>
        <v>-91</v>
      </c>
      <c r="H69" s="55"/>
      <c r="I69" s="78">
        <f>K69-VLOOKUP($B69,Şablon!$E$3:$Q$255,6,FALSE)</f>
        <v>-91</v>
      </c>
      <c r="J69" s="55"/>
      <c r="K69" s="78">
        <f>M69-VLOOKUP($B69,Şablon!$E$3:$Q$255,7,FALSE)</f>
        <v>-77</v>
      </c>
      <c r="L69" s="55"/>
      <c r="M69" s="78">
        <f>O69-VLOOKUP($B69,Şablon!$E$3:$Q$255,8,FALSE)</f>
        <v>-63</v>
      </c>
      <c r="N69" s="55"/>
      <c r="O69" s="78">
        <f>Q69-VLOOKUP($B69,Şablon!$E$3:$Q$255,9,FALSE)</f>
        <v>-42</v>
      </c>
      <c r="P69" s="55"/>
      <c r="Q69" s="78">
        <f>S69-VLOOKUP($B69,Şablon!$E$3:$Q$255,10,FALSE)</f>
        <v>-35</v>
      </c>
      <c r="R69" s="55"/>
      <c r="S69" s="78">
        <f>U69-(VLOOKUP($B69,Şablon!$E$3:$Q$255,11,FALSE)+VLOOKUP($B69,Şablon!$E$3:$Q$255,12,FALSE))</f>
        <v>-28</v>
      </c>
      <c r="T69" s="55"/>
      <c r="U69" s="57"/>
      <c r="V69" s="55"/>
      <c r="W69" s="59"/>
      <c r="X69" s="60"/>
      <c r="Y69" s="60"/>
      <c r="Z69" s="60"/>
      <c r="AA69" s="60"/>
      <c r="AB69" s="60"/>
      <c r="AC69" s="136"/>
    </row>
    <row r="70" spans="2:29" ht="19.95" customHeight="1" x14ac:dyDescent="0.3">
      <c r="B70" s="64" t="str">
        <f>Şablon!E69</f>
        <v>IHL.3028.064/1</v>
      </c>
      <c r="C70" s="76" t="str">
        <f>VLOOKUP($B70,Şablon!$E$3:$Q$255,2,FALSE)</f>
        <v>15.06.02 LAMİNE PARKE</v>
      </c>
      <c r="D70" s="87"/>
      <c r="E70" s="76" t="str">
        <f>VLOOKUP($B70,Şablon!$E$3:$Q$255,3,FALSE)</f>
        <v>A KATEGORİ</v>
      </c>
      <c r="F70" s="77" t="str">
        <f>VLOOKUP($B70,Şablon!$E$3:$Q$255,4,FALSE)</f>
        <v>İNŞ</v>
      </c>
      <c r="G70" s="78">
        <f>I70-VLOOKUP($B70,Şablon!$E$3:$Q$255,5,FALSE)</f>
        <v>-147</v>
      </c>
      <c r="H70" s="55"/>
      <c r="I70" s="78">
        <f>K70-VLOOKUP($B70,Şablon!$E$3:$Q$255,6,FALSE)</f>
        <v>-147</v>
      </c>
      <c r="J70" s="55"/>
      <c r="K70" s="78">
        <f>M70-VLOOKUP($B70,Şablon!$E$3:$Q$255,7,FALSE)</f>
        <v>-133</v>
      </c>
      <c r="L70" s="55"/>
      <c r="M70" s="78">
        <f>O70-VLOOKUP($B70,Şablon!$E$3:$Q$255,8,FALSE)</f>
        <v>-119</v>
      </c>
      <c r="N70" s="55"/>
      <c r="O70" s="78">
        <f>Q70-VLOOKUP($B70,Şablon!$E$3:$Q$255,9,FALSE)</f>
        <v>-91</v>
      </c>
      <c r="P70" s="55"/>
      <c r="Q70" s="78">
        <f>S70-VLOOKUP($B70,Şablon!$E$3:$Q$255,10,FALSE)</f>
        <v>-81</v>
      </c>
      <c r="R70" s="55"/>
      <c r="S70" s="78">
        <f>U70-(VLOOKUP($B70,Şablon!$E$3:$Q$255,11,FALSE)+VLOOKUP($B70,Şablon!$E$3:$Q$255,12,FALSE))</f>
        <v>-67</v>
      </c>
      <c r="T70" s="55"/>
      <c r="U70" s="57"/>
      <c r="V70" s="55"/>
      <c r="W70" s="59"/>
      <c r="X70" s="60"/>
      <c r="Y70" s="60"/>
      <c r="Z70" s="60"/>
      <c r="AA70" s="60"/>
      <c r="AB70" s="60"/>
      <c r="AC70" s="136"/>
    </row>
    <row r="71" spans="2:29" ht="19.95" customHeight="1" x14ac:dyDescent="0.3">
      <c r="B71" s="64" t="str">
        <f>Şablon!E70</f>
        <v>IHL.3028.065/1</v>
      </c>
      <c r="C71" s="76" t="str">
        <f>VLOOKUP($B71,Şablon!$E$3:$Q$255,2,FALSE)</f>
        <v>25.02.00 SABİT MOBİLYA</v>
      </c>
      <c r="D71" s="87"/>
      <c r="E71" s="76" t="str">
        <f>VLOOKUP($B71,Şablon!$E$3:$Q$255,3,FALSE)</f>
        <v>A KATEGORİ</v>
      </c>
      <c r="F71" s="77" t="str">
        <f>VLOOKUP($B71,Şablon!$E$3:$Q$255,4,FALSE)</f>
        <v>İNŞ</v>
      </c>
      <c r="G71" s="78">
        <f>I71-VLOOKUP($B71,Şablon!$E$3:$Q$255,5,FALSE)</f>
        <v>-207</v>
      </c>
      <c r="H71" s="55"/>
      <c r="I71" s="78">
        <f>K71-VLOOKUP($B71,Şablon!$E$3:$Q$255,6,FALSE)</f>
        <v>-207</v>
      </c>
      <c r="J71" s="55"/>
      <c r="K71" s="78">
        <f>M71-VLOOKUP($B71,Şablon!$E$3:$Q$255,7,FALSE)</f>
        <v>-193</v>
      </c>
      <c r="L71" s="55"/>
      <c r="M71" s="78">
        <f>O71-VLOOKUP($B71,Şablon!$E$3:$Q$255,8,FALSE)</f>
        <v>-179</v>
      </c>
      <c r="N71" s="55"/>
      <c r="O71" s="78">
        <f>Q71-VLOOKUP($B71,Şablon!$E$3:$Q$255,9,FALSE)</f>
        <v>-119</v>
      </c>
      <c r="P71" s="55"/>
      <c r="Q71" s="78">
        <f>S71-VLOOKUP($B71,Şablon!$E$3:$Q$255,10,FALSE)</f>
        <v>-109</v>
      </c>
      <c r="R71" s="55"/>
      <c r="S71" s="78">
        <f>U71-(VLOOKUP($B71,Şablon!$E$3:$Q$255,11,FALSE)+VLOOKUP($B71,Şablon!$E$3:$Q$255,12,FALSE))</f>
        <v>-88</v>
      </c>
      <c r="T71" s="55"/>
      <c r="U71" s="57"/>
      <c r="V71" s="55"/>
      <c r="W71" s="59"/>
      <c r="X71" s="60"/>
      <c r="Y71" s="60"/>
      <c r="Z71" s="60"/>
      <c r="AA71" s="60"/>
      <c r="AB71" s="60"/>
      <c r="AC71" s="136"/>
    </row>
    <row r="72" spans="2:29" ht="19.95" customHeight="1" x14ac:dyDescent="0.3">
      <c r="B72" s="64" t="str">
        <f>Şablon!E71</f>
        <v>IHL.3028.066/1</v>
      </c>
      <c r="C72" s="76" t="str">
        <f>VLOOKUP($B72,Şablon!$E$3:$Q$255,2,FALSE)</f>
        <v>15.15.01 CEPHE LOGO</v>
      </c>
      <c r="D72" s="87"/>
      <c r="E72" s="76" t="str">
        <f>VLOOKUP($B72,Şablon!$E$3:$Q$255,3,FALSE)</f>
        <v>B KATEGORİ</v>
      </c>
      <c r="F72" s="77" t="str">
        <f>VLOOKUP($B72,Şablon!$E$3:$Q$255,4,FALSE)</f>
        <v>İNŞ</v>
      </c>
      <c r="G72" s="78">
        <f>I72-VLOOKUP($B72,Şablon!$E$3:$Q$255,5,FALSE)</f>
        <v>-84</v>
      </c>
      <c r="H72" s="55"/>
      <c r="I72" s="78">
        <f>K72-VLOOKUP($B72,Şablon!$E$3:$Q$255,6,FALSE)</f>
        <v>-84</v>
      </c>
      <c r="J72" s="55"/>
      <c r="K72" s="78">
        <f>M72-VLOOKUP($B72,Şablon!$E$3:$Q$255,7,FALSE)</f>
        <v>-70</v>
      </c>
      <c r="L72" s="55"/>
      <c r="M72" s="78">
        <f>O72-VLOOKUP($B72,Şablon!$E$3:$Q$255,8,FALSE)</f>
        <v>-63</v>
      </c>
      <c r="N72" s="55"/>
      <c r="O72" s="78">
        <f>Q72-VLOOKUP($B72,Şablon!$E$3:$Q$255,9,FALSE)</f>
        <v>-49</v>
      </c>
      <c r="P72" s="55"/>
      <c r="Q72" s="78">
        <f>S72-VLOOKUP($B72,Şablon!$E$3:$Q$255,10,FALSE)</f>
        <v>-42</v>
      </c>
      <c r="R72" s="55"/>
      <c r="S72" s="78">
        <f>U72-(VLOOKUP($B72,Şablon!$E$3:$Q$255,11,FALSE)+VLOOKUP($B72,Şablon!$E$3:$Q$255,12,FALSE))</f>
        <v>-35</v>
      </c>
      <c r="T72" s="55"/>
      <c r="U72" s="57"/>
      <c r="V72" s="55"/>
      <c r="W72" s="59"/>
      <c r="X72" s="60"/>
      <c r="Y72" s="60"/>
      <c r="Z72" s="60"/>
      <c r="AA72" s="60"/>
      <c r="AB72" s="60"/>
      <c r="AC72" s="136"/>
    </row>
    <row r="73" spans="2:29" ht="19.95" customHeight="1" x14ac:dyDescent="0.3">
      <c r="B73" s="64" t="str">
        <f>Şablon!E72</f>
        <v>IHL.3028.067/1</v>
      </c>
      <c r="C73" s="76" t="str">
        <f>VLOOKUP($B73,Şablon!$E$3:$Q$255,2,FALSE)</f>
        <v>15.11.00 AKRİLİK TEZGAH</v>
      </c>
      <c r="D73" s="87"/>
      <c r="E73" s="76" t="str">
        <f>VLOOKUP($B73,Şablon!$E$3:$Q$255,3,FALSE)</f>
        <v>B KATEGORİ</v>
      </c>
      <c r="F73" s="77" t="str">
        <f>VLOOKUP($B73,Şablon!$E$3:$Q$255,4,FALSE)</f>
        <v>İNŞ</v>
      </c>
      <c r="G73" s="78">
        <f>I73-VLOOKUP($B73,Şablon!$E$3:$Q$255,5,FALSE)</f>
        <v>-98</v>
      </c>
      <c r="H73" s="55"/>
      <c r="I73" s="78">
        <f>K73-VLOOKUP($B73,Şablon!$E$3:$Q$255,6,FALSE)</f>
        <v>-98</v>
      </c>
      <c r="J73" s="55"/>
      <c r="K73" s="78">
        <f>M73-VLOOKUP($B73,Şablon!$E$3:$Q$255,7,FALSE)</f>
        <v>-84</v>
      </c>
      <c r="L73" s="55"/>
      <c r="M73" s="78">
        <f>O73-VLOOKUP($B73,Şablon!$E$3:$Q$255,8,FALSE)</f>
        <v>-77</v>
      </c>
      <c r="N73" s="55"/>
      <c r="O73" s="78">
        <f>Q73-VLOOKUP($B73,Şablon!$E$3:$Q$255,9,FALSE)</f>
        <v>-56</v>
      </c>
      <c r="P73" s="55"/>
      <c r="Q73" s="78">
        <f>S73-VLOOKUP($B73,Şablon!$E$3:$Q$255,10,FALSE)</f>
        <v>-49</v>
      </c>
      <c r="R73" s="55"/>
      <c r="S73" s="78">
        <f>U73-(VLOOKUP($B73,Şablon!$E$3:$Q$255,11,FALSE)+VLOOKUP($B73,Şablon!$E$3:$Q$255,12,FALSE))</f>
        <v>-35</v>
      </c>
      <c r="T73" s="55"/>
      <c r="U73" s="57"/>
      <c r="V73" s="55"/>
      <c r="W73" s="59"/>
      <c r="X73" s="60"/>
      <c r="Y73" s="60"/>
      <c r="Z73" s="60"/>
      <c r="AA73" s="60"/>
      <c r="AB73" s="60"/>
      <c r="AC73" s="136"/>
    </row>
    <row r="74" spans="2:29" ht="19.95" customHeight="1" x14ac:dyDescent="0.3">
      <c r="B74" s="64" t="str">
        <f>Şablon!E73</f>
        <v>IHL.3028.068/1</v>
      </c>
      <c r="C74" s="76" t="str">
        <f>VLOOKUP($B74,Şablon!$E$3:$Q$255,2,FALSE)</f>
        <v>15.11.01 KUVARS TEZGAH</v>
      </c>
      <c r="D74" s="87"/>
      <c r="E74" s="76" t="str">
        <f>VLOOKUP($B74,Şablon!$E$3:$Q$255,3,FALSE)</f>
        <v>B KATEGORİ</v>
      </c>
      <c r="F74" s="77" t="str">
        <f>VLOOKUP($B74,Şablon!$E$3:$Q$255,4,FALSE)</f>
        <v>İNŞ</v>
      </c>
      <c r="G74" s="78">
        <f>I74-VLOOKUP($B74,Şablon!$E$3:$Q$255,5,FALSE)</f>
        <v>-98</v>
      </c>
      <c r="H74" s="55"/>
      <c r="I74" s="78">
        <f>K74-VLOOKUP($B74,Şablon!$E$3:$Q$255,6,FALSE)</f>
        <v>-98</v>
      </c>
      <c r="J74" s="55"/>
      <c r="K74" s="78">
        <f>M74-VLOOKUP($B74,Şablon!$E$3:$Q$255,7,FALSE)</f>
        <v>-84</v>
      </c>
      <c r="L74" s="55"/>
      <c r="M74" s="78">
        <f>O74-VLOOKUP($B74,Şablon!$E$3:$Q$255,8,FALSE)</f>
        <v>-77</v>
      </c>
      <c r="N74" s="55"/>
      <c r="O74" s="78">
        <f>Q74-VLOOKUP($B74,Şablon!$E$3:$Q$255,9,FALSE)</f>
        <v>-56</v>
      </c>
      <c r="P74" s="55"/>
      <c r="Q74" s="78">
        <f>S74-VLOOKUP($B74,Şablon!$E$3:$Q$255,10,FALSE)</f>
        <v>-49</v>
      </c>
      <c r="R74" s="55"/>
      <c r="S74" s="78">
        <f>U74-(VLOOKUP($B74,Şablon!$E$3:$Q$255,11,FALSE)+VLOOKUP($B74,Şablon!$E$3:$Q$255,12,FALSE))</f>
        <v>-35</v>
      </c>
      <c r="T74" s="55"/>
      <c r="U74" s="57"/>
      <c r="V74" s="55"/>
      <c r="W74" s="59"/>
      <c r="X74" s="60"/>
      <c r="Y74" s="60"/>
      <c r="Z74" s="60"/>
      <c r="AA74" s="60"/>
      <c r="AB74" s="60"/>
      <c r="AC74" s="136"/>
    </row>
    <row r="75" spans="2:29" ht="19.95" customHeight="1" x14ac:dyDescent="0.3">
      <c r="B75" s="64" t="str">
        <f>Şablon!E74</f>
        <v>IHL.3028.069/1</v>
      </c>
      <c r="C75" s="76" t="str">
        <f>VLOOKUP($B75,Şablon!$E$3:$Q$255,2,FALSE)</f>
        <v>15.11.02 PORSELEN TEZGAH</v>
      </c>
      <c r="D75" s="87"/>
      <c r="E75" s="76" t="str">
        <f>VLOOKUP($B75,Şablon!$E$3:$Q$255,3,FALSE)</f>
        <v>B KATEGORİ</v>
      </c>
      <c r="F75" s="77" t="str">
        <f>VLOOKUP($B75,Şablon!$E$3:$Q$255,4,FALSE)</f>
        <v>İNŞ</v>
      </c>
      <c r="G75" s="78">
        <f>I75-VLOOKUP($B75,Şablon!$E$3:$Q$255,5,FALSE)</f>
        <v>-98</v>
      </c>
      <c r="H75" s="55"/>
      <c r="I75" s="78">
        <f>K75-VLOOKUP($B75,Şablon!$E$3:$Q$255,6,FALSE)</f>
        <v>-98</v>
      </c>
      <c r="J75" s="55"/>
      <c r="K75" s="78">
        <f>M75-VLOOKUP($B75,Şablon!$E$3:$Q$255,7,FALSE)</f>
        <v>-84</v>
      </c>
      <c r="L75" s="55"/>
      <c r="M75" s="78">
        <f>O75-VLOOKUP($B75,Şablon!$E$3:$Q$255,8,FALSE)</f>
        <v>-77</v>
      </c>
      <c r="N75" s="55"/>
      <c r="O75" s="78">
        <f>Q75-VLOOKUP($B75,Şablon!$E$3:$Q$255,9,FALSE)</f>
        <v>-56</v>
      </c>
      <c r="P75" s="55"/>
      <c r="Q75" s="78">
        <f>S75-VLOOKUP($B75,Şablon!$E$3:$Q$255,10,FALSE)</f>
        <v>-49</v>
      </c>
      <c r="R75" s="55"/>
      <c r="S75" s="78">
        <f>U75-(VLOOKUP($B75,Şablon!$E$3:$Q$255,11,FALSE)+VLOOKUP($B75,Şablon!$E$3:$Q$255,12,FALSE))</f>
        <v>-35</v>
      </c>
      <c r="T75" s="55"/>
      <c r="U75" s="57"/>
      <c r="V75" s="55"/>
      <c r="W75" s="59"/>
      <c r="X75" s="60"/>
      <c r="Y75" s="60"/>
      <c r="Z75" s="60"/>
      <c r="AA75" s="60"/>
      <c r="AB75" s="60"/>
      <c r="AC75" s="136"/>
    </row>
    <row r="76" spans="2:29" ht="19.95" customHeight="1" x14ac:dyDescent="0.3">
      <c r="B76" s="64" t="str">
        <f>Şablon!E75</f>
        <v>IHL.3028.070/1</v>
      </c>
      <c r="C76" s="76" t="str">
        <f>VLOOKUP($B76,Şablon!$E$3:$Q$255,2,FALSE)</f>
        <v>15.05.00 (M) DUVAR KAĞIDI İŞLERİ</v>
      </c>
      <c r="D76" s="87"/>
      <c r="E76" s="76" t="str">
        <f>VLOOKUP($B76,Şablon!$E$3:$Q$255,3,FALSE)</f>
        <v>B KATEGORİ</v>
      </c>
      <c r="F76" s="77" t="str">
        <f>VLOOKUP($B76,Şablon!$E$3:$Q$255,4,FALSE)</f>
        <v>İNŞ</v>
      </c>
      <c r="G76" s="78">
        <f>I76-VLOOKUP($B76,Şablon!$E$3:$Q$255,5,FALSE)</f>
        <v>-116</v>
      </c>
      <c r="H76" s="55"/>
      <c r="I76" s="78">
        <f>K76-VLOOKUP($B76,Şablon!$E$3:$Q$255,6,FALSE)</f>
        <v>-116</v>
      </c>
      <c r="J76" s="55"/>
      <c r="K76" s="78">
        <f>M76-VLOOKUP($B76,Şablon!$E$3:$Q$255,7,FALSE)</f>
        <v>-102</v>
      </c>
      <c r="L76" s="55"/>
      <c r="M76" s="78">
        <f>O76-VLOOKUP($B76,Şablon!$E$3:$Q$255,8,FALSE)</f>
        <v>-95</v>
      </c>
      <c r="N76" s="55"/>
      <c r="O76" s="78">
        <f>Q76-VLOOKUP($B76,Şablon!$E$3:$Q$255,9,FALSE)</f>
        <v>-81</v>
      </c>
      <c r="P76" s="55"/>
      <c r="Q76" s="78">
        <f>S76-VLOOKUP($B76,Şablon!$E$3:$Q$255,10,FALSE)</f>
        <v>-74</v>
      </c>
      <c r="R76" s="55"/>
      <c r="S76" s="78">
        <f>U76-(VLOOKUP($B76,Şablon!$E$3:$Q$255,11,FALSE)+VLOOKUP($B76,Şablon!$E$3:$Q$255,12,FALSE))</f>
        <v>-67</v>
      </c>
      <c r="T76" s="55"/>
      <c r="U76" s="57"/>
      <c r="V76" s="55"/>
      <c r="W76" s="59"/>
      <c r="X76" s="60"/>
      <c r="Y76" s="60"/>
      <c r="Z76" s="60"/>
      <c r="AA76" s="60"/>
      <c r="AB76" s="60"/>
      <c r="AC76" s="136"/>
    </row>
    <row r="77" spans="2:29" ht="19.95" customHeight="1" x14ac:dyDescent="0.3">
      <c r="B77" s="64" t="str">
        <f>Şablon!E76</f>
        <v>IHL.3028.071/1</v>
      </c>
      <c r="C77" s="76" t="str">
        <f>VLOOKUP($B77,Şablon!$E$3:$Q$255,2,FALSE)</f>
        <v>15.05.00 DUVAR KAĞIDI İŞLERİ</v>
      </c>
      <c r="D77" s="87"/>
      <c r="E77" s="76" t="str">
        <f>VLOOKUP($B77,Şablon!$E$3:$Q$255,3,FALSE)</f>
        <v>B KATEGORİ</v>
      </c>
      <c r="F77" s="77" t="str">
        <f>VLOOKUP($B77,Şablon!$E$3:$Q$255,4,FALSE)</f>
        <v>İNŞ</v>
      </c>
      <c r="G77" s="78">
        <f>I77-VLOOKUP($B77,Şablon!$E$3:$Q$255,5,FALSE)</f>
        <v>-56</v>
      </c>
      <c r="H77" s="55"/>
      <c r="I77" s="78">
        <f>K77-VLOOKUP($B77,Şablon!$E$3:$Q$255,6,FALSE)</f>
        <v>-56</v>
      </c>
      <c r="J77" s="55"/>
      <c r="K77" s="78">
        <f>M77-VLOOKUP($B77,Şablon!$E$3:$Q$255,7,FALSE)</f>
        <v>-42</v>
      </c>
      <c r="L77" s="55"/>
      <c r="M77" s="78">
        <f>O77-VLOOKUP($B77,Şablon!$E$3:$Q$255,8,FALSE)</f>
        <v>-35</v>
      </c>
      <c r="N77" s="55"/>
      <c r="O77" s="78">
        <f>Q77-VLOOKUP($B77,Şablon!$E$3:$Q$255,9,FALSE)</f>
        <v>-21</v>
      </c>
      <c r="P77" s="55"/>
      <c r="Q77" s="78">
        <f>S77-VLOOKUP($B77,Şablon!$E$3:$Q$255,10,FALSE)</f>
        <v>-14</v>
      </c>
      <c r="R77" s="55"/>
      <c r="S77" s="78">
        <f>U77-(VLOOKUP($B77,Şablon!$E$3:$Q$255,11,FALSE)+VLOOKUP($B77,Şablon!$E$3:$Q$255,12,FALSE))</f>
        <v>-7</v>
      </c>
      <c r="T77" s="55"/>
      <c r="U77" s="57"/>
      <c r="V77" s="55"/>
      <c r="W77" s="59"/>
      <c r="X77" s="60"/>
      <c r="Y77" s="60"/>
      <c r="Z77" s="60"/>
      <c r="AA77" s="60"/>
      <c r="AB77" s="60"/>
      <c r="AC77" s="136"/>
    </row>
    <row r="78" spans="2:29" ht="19.95" customHeight="1" x14ac:dyDescent="0.3">
      <c r="B78" s="64" t="str">
        <f>Şablon!E77</f>
        <v>IHL.3028.072/1</v>
      </c>
      <c r="C78" s="76" t="str">
        <f>VLOOKUP($B78,Şablon!$E$3:$Q$255,2,FALSE)</f>
        <v>15.14.04 (M) VİTRİFİYE MALZEME TEMİNİ</v>
      </c>
      <c r="D78" s="87"/>
      <c r="E78" s="76" t="str">
        <f>VLOOKUP($B78,Şablon!$E$3:$Q$255,3,FALSE)</f>
        <v>B KATEGORİ</v>
      </c>
      <c r="F78" s="77" t="str">
        <f>VLOOKUP($B78,Şablon!$E$3:$Q$255,4,FALSE)</f>
        <v>İNŞ</v>
      </c>
      <c r="G78" s="78">
        <f>I78-VLOOKUP($B78,Şablon!$E$3:$Q$255,5,FALSE)</f>
        <v>-123</v>
      </c>
      <c r="H78" s="55"/>
      <c r="I78" s="78">
        <f>K78-VLOOKUP($B78,Şablon!$E$3:$Q$255,6,FALSE)</f>
        <v>-123</v>
      </c>
      <c r="J78" s="55"/>
      <c r="K78" s="78">
        <f>M78-VLOOKUP($B78,Şablon!$E$3:$Q$255,7,FALSE)</f>
        <v>-109</v>
      </c>
      <c r="L78" s="55"/>
      <c r="M78" s="78">
        <f>O78-VLOOKUP($B78,Şablon!$E$3:$Q$255,8,FALSE)</f>
        <v>-102</v>
      </c>
      <c r="N78" s="55"/>
      <c r="O78" s="78">
        <f>Q78-VLOOKUP($B78,Şablon!$E$3:$Q$255,9,FALSE)</f>
        <v>-81</v>
      </c>
      <c r="P78" s="55"/>
      <c r="Q78" s="78">
        <f>S78-VLOOKUP($B78,Şablon!$E$3:$Q$255,10,FALSE)</f>
        <v>-74</v>
      </c>
      <c r="R78" s="55"/>
      <c r="S78" s="78">
        <f>U78-(VLOOKUP($B78,Şablon!$E$3:$Q$255,11,FALSE)+VLOOKUP($B78,Şablon!$E$3:$Q$255,12,FALSE))</f>
        <v>-67</v>
      </c>
      <c r="T78" s="55"/>
      <c r="U78" s="57"/>
      <c r="V78" s="55"/>
      <c r="W78" s="59"/>
      <c r="X78" s="60"/>
      <c r="Y78" s="60"/>
      <c r="Z78" s="60"/>
      <c r="AA78" s="60"/>
      <c r="AB78" s="60"/>
      <c r="AC78" s="136"/>
    </row>
    <row r="79" spans="2:29" ht="19.95" customHeight="1" x14ac:dyDescent="0.3">
      <c r="B79" s="64" t="str">
        <f>Şablon!E78</f>
        <v>IHL.3028.073/1</v>
      </c>
      <c r="C79" s="76" t="str">
        <f>VLOOKUP($B79,Şablon!$E$3:$Q$255,2,FALSE)</f>
        <v>15.14.05 (M) ARMATÜR MALZEME TEMİNİ</v>
      </c>
      <c r="D79" s="87"/>
      <c r="E79" s="76" t="str">
        <f>VLOOKUP($B79,Şablon!$E$3:$Q$255,3,FALSE)</f>
        <v>B KATEGORİ</v>
      </c>
      <c r="F79" s="77" t="str">
        <f>VLOOKUP($B79,Şablon!$E$3:$Q$255,4,FALSE)</f>
        <v>İNŞ</v>
      </c>
      <c r="G79" s="78">
        <f>I79-VLOOKUP($B79,Şablon!$E$3:$Q$255,5,FALSE)</f>
        <v>-123</v>
      </c>
      <c r="H79" s="55"/>
      <c r="I79" s="78">
        <f>K79-VLOOKUP($B79,Şablon!$E$3:$Q$255,6,FALSE)</f>
        <v>-123</v>
      </c>
      <c r="J79" s="55"/>
      <c r="K79" s="78">
        <f>M79-VLOOKUP($B79,Şablon!$E$3:$Q$255,7,FALSE)</f>
        <v>-109</v>
      </c>
      <c r="L79" s="55"/>
      <c r="M79" s="78">
        <f>O79-VLOOKUP($B79,Şablon!$E$3:$Q$255,8,FALSE)</f>
        <v>-102</v>
      </c>
      <c r="N79" s="55"/>
      <c r="O79" s="78">
        <f>Q79-VLOOKUP($B79,Şablon!$E$3:$Q$255,9,FALSE)</f>
        <v>-81</v>
      </c>
      <c r="P79" s="55"/>
      <c r="Q79" s="78">
        <f>S79-VLOOKUP($B79,Şablon!$E$3:$Q$255,10,FALSE)</f>
        <v>-74</v>
      </c>
      <c r="R79" s="55"/>
      <c r="S79" s="78">
        <f>U79-(VLOOKUP($B79,Şablon!$E$3:$Q$255,11,FALSE)+VLOOKUP($B79,Şablon!$E$3:$Q$255,12,FALSE))</f>
        <v>-67</v>
      </c>
      <c r="T79" s="55"/>
      <c r="U79" s="57"/>
      <c r="V79" s="55"/>
      <c r="W79" s="59"/>
      <c r="X79" s="60"/>
      <c r="Y79" s="60"/>
      <c r="Z79" s="60"/>
      <c r="AA79" s="60"/>
      <c r="AB79" s="60"/>
      <c r="AC79" s="136"/>
    </row>
    <row r="80" spans="2:29" ht="19.95" customHeight="1" x14ac:dyDescent="0.3">
      <c r="B80" s="64" t="str">
        <f>Şablon!E79</f>
        <v>IHL.3028.074/1</v>
      </c>
      <c r="C80" s="76" t="str">
        <f>VLOOKUP($B80,Şablon!$E$3:$Q$255,2,FALSE)</f>
        <v>15.14.08 (M) EVİYE MALZEME TEMİNİ</v>
      </c>
      <c r="D80" s="87"/>
      <c r="E80" s="76" t="str">
        <f>VLOOKUP($B80,Şablon!$E$3:$Q$255,3,FALSE)</f>
        <v>B KATEGORİ</v>
      </c>
      <c r="F80" s="77" t="str">
        <f>VLOOKUP($B80,Şablon!$E$3:$Q$255,4,FALSE)</f>
        <v>İNŞ</v>
      </c>
      <c r="G80" s="78">
        <f>I80-VLOOKUP($B80,Şablon!$E$3:$Q$255,5,FALSE)</f>
        <v>-108</v>
      </c>
      <c r="H80" s="55"/>
      <c r="I80" s="78">
        <f>K80-VLOOKUP($B80,Şablon!$E$3:$Q$255,6,FALSE)</f>
        <v>-108</v>
      </c>
      <c r="J80" s="55"/>
      <c r="K80" s="78">
        <f>M80-VLOOKUP($B80,Şablon!$E$3:$Q$255,7,FALSE)</f>
        <v>-94</v>
      </c>
      <c r="L80" s="55"/>
      <c r="M80" s="78">
        <f>O80-VLOOKUP($B80,Şablon!$E$3:$Q$255,8,FALSE)</f>
        <v>-87</v>
      </c>
      <c r="N80" s="55"/>
      <c r="O80" s="78">
        <f>Q80-VLOOKUP($B80,Şablon!$E$3:$Q$255,9,FALSE)</f>
        <v>-66</v>
      </c>
      <c r="P80" s="55"/>
      <c r="Q80" s="78">
        <f>S80-VLOOKUP($B80,Şablon!$E$3:$Q$255,10,FALSE)</f>
        <v>-59</v>
      </c>
      <c r="R80" s="55"/>
      <c r="S80" s="78">
        <f>U80-(VLOOKUP($B80,Şablon!$E$3:$Q$255,11,FALSE)+VLOOKUP($B80,Şablon!$E$3:$Q$255,12,FALSE))</f>
        <v>-52</v>
      </c>
      <c r="T80" s="55"/>
      <c r="U80" s="57"/>
      <c r="V80" s="55"/>
      <c r="W80" s="59"/>
      <c r="X80" s="60"/>
      <c r="Y80" s="60"/>
      <c r="Z80" s="60"/>
      <c r="AA80" s="60"/>
      <c r="AB80" s="60"/>
      <c r="AC80" s="136"/>
    </row>
    <row r="81" spans="2:29" ht="19.95" customHeight="1" x14ac:dyDescent="0.3">
      <c r="B81" s="64" t="str">
        <f>Şablon!E80</f>
        <v>IHL.3028.075/1</v>
      </c>
      <c r="C81" s="76" t="str">
        <f>VLOOKUP($B81,Şablon!$E$3:$Q$255,2,FALSE)</f>
        <v>15.14.06 (M) AKSESUAR MALZEME TEMİNİ</v>
      </c>
      <c r="D81" s="87"/>
      <c r="E81" s="76" t="str">
        <f>VLOOKUP($B81,Şablon!$E$3:$Q$255,3,FALSE)</f>
        <v>B KATEGORİ</v>
      </c>
      <c r="F81" s="77" t="str">
        <f>VLOOKUP($B81,Şablon!$E$3:$Q$255,4,FALSE)</f>
        <v>İNŞ</v>
      </c>
      <c r="G81" s="78">
        <f>I81-VLOOKUP($B81,Şablon!$E$3:$Q$255,5,FALSE)</f>
        <v>-91</v>
      </c>
      <c r="H81" s="55"/>
      <c r="I81" s="78">
        <f>K81-VLOOKUP($B81,Şablon!$E$3:$Q$255,6,FALSE)</f>
        <v>-91</v>
      </c>
      <c r="J81" s="55"/>
      <c r="K81" s="78">
        <f>M81-VLOOKUP($B81,Şablon!$E$3:$Q$255,7,FALSE)</f>
        <v>-77</v>
      </c>
      <c r="L81" s="55"/>
      <c r="M81" s="78">
        <f>O81-VLOOKUP($B81,Şablon!$E$3:$Q$255,8,FALSE)</f>
        <v>-70</v>
      </c>
      <c r="N81" s="55"/>
      <c r="O81" s="78">
        <f>Q81-VLOOKUP($B81,Şablon!$E$3:$Q$255,9,FALSE)</f>
        <v>-49</v>
      </c>
      <c r="P81" s="55"/>
      <c r="Q81" s="78">
        <f>S81-VLOOKUP($B81,Şablon!$E$3:$Q$255,10,FALSE)</f>
        <v>-42</v>
      </c>
      <c r="R81" s="55"/>
      <c r="S81" s="78">
        <f>U81-(VLOOKUP($B81,Şablon!$E$3:$Q$255,11,FALSE)+VLOOKUP($B81,Şablon!$E$3:$Q$255,12,FALSE))</f>
        <v>-35</v>
      </c>
      <c r="T81" s="55"/>
      <c r="U81" s="57"/>
      <c r="V81" s="55"/>
      <c r="W81" s="59"/>
      <c r="X81" s="61"/>
      <c r="Y81" s="60"/>
      <c r="Z81" s="60"/>
      <c r="AA81" s="60"/>
      <c r="AB81" s="60"/>
      <c r="AC81" s="136"/>
    </row>
    <row r="82" spans="2:29" ht="19.95" customHeight="1" x14ac:dyDescent="0.3">
      <c r="B82" s="64" t="str">
        <f>Şablon!E81</f>
        <v>IHL.3028.076/1</v>
      </c>
      <c r="C82" s="76" t="str">
        <f>VLOOKUP($B82,Şablon!$E$3:$Q$255,2,FALSE)</f>
        <v>15.14.00 DUŞKABİN İŞLERİ</v>
      </c>
      <c r="D82" s="87"/>
      <c r="E82" s="76" t="str">
        <f>VLOOKUP($B82,Şablon!$E$3:$Q$255,3,FALSE)</f>
        <v>B KATEGORİ</v>
      </c>
      <c r="F82" s="77" t="str">
        <f>VLOOKUP($B82,Şablon!$E$3:$Q$255,4,FALSE)</f>
        <v>İNŞ</v>
      </c>
      <c r="G82" s="78">
        <f>I82-VLOOKUP($B82,Şablon!$E$3:$Q$255,5,FALSE)</f>
        <v>-115</v>
      </c>
      <c r="H82" s="55"/>
      <c r="I82" s="78">
        <f>K82-VLOOKUP($B82,Şablon!$E$3:$Q$255,6,FALSE)</f>
        <v>-115</v>
      </c>
      <c r="J82" s="55"/>
      <c r="K82" s="78">
        <f>M82-VLOOKUP($B82,Şablon!$E$3:$Q$255,7,FALSE)</f>
        <v>-101</v>
      </c>
      <c r="L82" s="55"/>
      <c r="M82" s="78">
        <f>O82-VLOOKUP($B82,Şablon!$E$3:$Q$255,8,FALSE)</f>
        <v>-94</v>
      </c>
      <c r="N82" s="55"/>
      <c r="O82" s="78">
        <f>Q82-VLOOKUP($B82,Şablon!$E$3:$Q$255,9,FALSE)</f>
        <v>-73</v>
      </c>
      <c r="P82" s="55"/>
      <c r="Q82" s="78">
        <f>S82-VLOOKUP($B82,Şablon!$E$3:$Q$255,10,FALSE)</f>
        <v>-66</v>
      </c>
      <c r="R82" s="55"/>
      <c r="S82" s="78">
        <f>U82-(VLOOKUP($B82,Şablon!$E$3:$Q$255,11,FALSE)+VLOOKUP($B82,Şablon!$E$3:$Q$255,12,FALSE))</f>
        <v>-52</v>
      </c>
      <c r="T82" s="55"/>
      <c r="U82" s="57"/>
      <c r="V82" s="55"/>
      <c r="W82" s="59"/>
      <c r="X82" s="60"/>
      <c r="Y82" s="60"/>
      <c r="Z82" s="60"/>
      <c r="AA82" s="60"/>
      <c r="AB82" s="60"/>
      <c r="AC82" s="136"/>
    </row>
    <row r="83" spans="2:29" ht="19.95" customHeight="1" x14ac:dyDescent="0.3">
      <c r="B83" s="64" t="str">
        <f>Şablon!E82</f>
        <v>IHL.3028.077/1</v>
      </c>
      <c r="C83" s="76" t="str">
        <f>VLOOKUP($B83,Şablon!$E$3:$Q$255,2,FALSE)</f>
        <v>15.14.01 (M) DUŞ KANALI MALZEME TEMİNİ</v>
      </c>
      <c r="D83" s="87"/>
      <c r="E83" s="76" t="str">
        <f>VLOOKUP($B83,Şablon!$E$3:$Q$255,3,FALSE)</f>
        <v>B KATEGORİ</v>
      </c>
      <c r="F83" s="77" t="str">
        <f>VLOOKUP($B83,Şablon!$E$3:$Q$255,4,FALSE)</f>
        <v>İNŞ</v>
      </c>
      <c r="G83" s="78">
        <f>I83-VLOOKUP($B83,Şablon!$E$3:$Q$255,5,FALSE)</f>
        <v>-91</v>
      </c>
      <c r="H83" s="55"/>
      <c r="I83" s="78">
        <f>K83-VLOOKUP($B83,Şablon!$E$3:$Q$255,6,FALSE)</f>
        <v>-91</v>
      </c>
      <c r="J83" s="55"/>
      <c r="K83" s="78">
        <f>M83-VLOOKUP($B83,Şablon!$E$3:$Q$255,7,FALSE)</f>
        <v>-77</v>
      </c>
      <c r="L83" s="55"/>
      <c r="M83" s="78">
        <f>O83-VLOOKUP($B83,Şablon!$E$3:$Q$255,8,FALSE)</f>
        <v>-70</v>
      </c>
      <c r="N83" s="55"/>
      <c r="O83" s="78">
        <f>Q83-VLOOKUP($B83,Şablon!$E$3:$Q$255,9,FALSE)</f>
        <v>-49</v>
      </c>
      <c r="P83" s="55"/>
      <c r="Q83" s="78">
        <f>S83-VLOOKUP($B83,Şablon!$E$3:$Q$255,10,FALSE)</f>
        <v>-42</v>
      </c>
      <c r="R83" s="55"/>
      <c r="S83" s="78">
        <f>U83-(VLOOKUP($B83,Şablon!$E$3:$Q$255,11,FALSE)+VLOOKUP($B83,Şablon!$E$3:$Q$255,12,FALSE))</f>
        <v>-35</v>
      </c>
      <c r="T83" s="55"/>
      <c r="U83" s="57"/>
      <c r="V83" s="55"/>
      <c r="W83" s="59"/>
      <c r="X83" s="60"/>
      <c r="Y83" s="60"/>
      <c r="Z83" s="60"/>
      <c r="AA83" s="60"/>
      <c r="AB83" s="60"/>
      <c r="AC83" s="136"/>
    </row>
    <row r="84" spans="2:29" ht="19.8" customHeight="1" x14ac:dyDescent="0.3">
      <c r="B84" s="64" t="str">
        <f>Şablon!E83</f>
        <v>IHL.3028.078/1</v>
      </c>
      <c r="C84" s="76" t="str">
        <f>VLOOKUP($B84,Şablon!$E$3:$Q$255,2,FALSE)</f>
        <v>15.13.00 DİLATASYON PROFİL İŞLERİ</v>
      </c>
      <c r="D84" s="87"/>
      <c r="E84" s="76" t="str">
        <f>VLOOKUP($B84,Şablon!$E$3:$Q$255,3,FALSE)</f>
        <v>B KATEGORİ</v>
      </c>
      <c r="F84" s="77" t="str">
        <f>VLOOKUP($B84,Şablon!$E$3:$Q$255,4,FALSE)</f>
        <v>İNŞ</v>
      </c>
      <c r="G84" s="78">
        <f>I84-VLOOKUP($B84,Şablon!$E$3:$Q$255,5,FALSE)</f>
        <v>-84</v>
      </c>
      <c r="H84" s="55"/>
      <c r="I84" s="78">
        <f>K84-VLOOKUP($B84,Şablon!$E$3:$Q$255,6,FALSE)</f>
        <v>-84</v>
      </c>
      <c r="J84" s="55"/>
      <c r="K84" s="78">
        <f>M84-VLOOKUP($B84,Şablon!$E$3:$Q$255,7,FALSE)</f>
        <v>-70</v>
      </c>
      <c r="L84" s="55"/>
      <c r="M84" s="78">
        <f>O84-VLOOKUP($B84,Şablon!$E$3:$Q$255,8,FALSE)</f>
        <v>-63</v>
      </c>
      <c r="N84" s="55"/>
      <c r="O84" s="78">
        <f>Q84-VLOOKUP($B84,Şablon!$E$3:$Q$255,9,FALSE)</f>
        <v>-49</v>
      </c>
      <c r="P84" s="55"/>
      <c r="Q84" s="78">
        <f>S84-VLOOKUP($B84,Şablon!$E$3:$Q$255,10,FALSE)</f>
        <v>-42</v>
      </c>
      <c r="R84" s="55"/>
      <c r="S84" s="78">
        <f>U84-(VLOOKUP($B84,Şablon!$E$3:$Q$255,11,FALSE)+VLOOKUP($B84,Şablon!$E$3:$Q$255,12,FALSE))</f>
        <v>-35</v>
      </c>
      <c r="T84" s="55"/>
      <c r="U84" s="57"/>
      <c r="V84" s="55"/>
      <c r="W84" s="59"/>
      <c r="X84" s="60"/>
      <c r="Y84" s="60"/>
      <c r="Z84" s="60"/>
      <c r="AA84" s="60"/>
      <c r="AB84" s="60"/>
      <c r="AC84" s="136"/>
    </row>
    <row r="85" spans="2:29" ht="19.8" customHeight="1" x14ac:dyDescent="0.3">
      <c r="B85" s="64" t="str">
        <f>Şablon!E84</f>
        <v>IHL.3028.079/1</v>
      </c>
      <c r="C85" s="76" t="str">
        <f>VLOOKUP($B85,Şablon!$E$3:$Q$255,2,FALSE)</f>
        <v>23.03.00 SES YALITIMI</v>
      </c>
      <c r="D85" s="87"/>
      <c r="E85" s="76" t="str">
        <f>VLOOKUP($B85,Şablon!$E$3:$Q$255,3,FALSE)</f>
        <v>B KATEGORİ</v>
      </c>
      <c r="F85" s="77" t="str">
        <f>VLOOKUP($B85,Şablon!$E$3:$Q$255,4,FALSE)</f>
        <v>İNŞ</v>
      </c>
      <c r="G85" s="78">
        <f>I85-VLOOKUP($B85,Şablon!$E$3:$Q$255,5,FALSE)</f>
        <v>-98</v>
      </c>
      <c r="H85" s="55"/>
      <c r="I85" s="78">
        <f>K85-VLOOKUP($B85,Şablon!$E$3:$Q$255,6,FALSE)</f>
        <v>-98</v>
      </c>
      <c r="J85" s="55"/>
      <c r="K85" s="78">
        <f>M85-VLOOKUP($B85,Şablon!$E$3:$Q$255,7,FALSE)</f>
        <v>-84</v>
      </c>
      <c r="L85" s="55"/>
      <c r="M85" s="78">
        <f>O85-VLOOKUP($B85,Şablon!$E$3:$Q$255,8,FALSE)</f>
        <v>-70</v>
      </c>
      <c r="N85" s="55"/>
      <c r="O85" s="78">
        <f>Q85-VLOOKUP($B85,Şablon!$E$3:$Q$255,9,FALSE)</f>
        <v>-49</v>
      </c>
      <c r="P85" s="55"/>
      <c r="Q85" s="78">
        <f>S85-VLOOKUP($B85,Şablon!$E$3:$Q$255,10,FALSE)</f>
        <v>-42</v>
      </c>
      <c r="R85" s="55"/>
      <c r="S85" s="78">
        <f>U85-(VLOOKUP($B85,Şablon!$E$3:$Q$255,11,FALSE)+VLOOKUP($B85,Şablon!$E$3:$Q$255,12,FALSE))</f>
        <v>-28</v>
      </c>
      <c r="T85" s="55"/>
      <c r="U85" s="57"/>
      <c r="V85" s="55"/>
      <c r="W85" s="59"/>
      <c r="X85" s="60"/>
      <c r="Y85" s="60"/>
      <c r="Z85" s="60"/>
      <c r="AA85" s="60"/>
      <c r="AB85" s="60"/>
      <c r="AC85" s="136"/>
    </row>
    <row r="86" spans="2:29" ht="19.8" customHeight="1" x14ac:dyDescent="0.3">
      <c r="B86" s="64" t="str">
        <f>Şablon!E85</f>
        <v>IHL.3028.080/1</v>
      </c>
      <c r="C86" s="76" t="str">
        <f>VLOOKUP($B86,Şablon!$E$3:$Q$255,2,FALSE)</f>
        <v>23.03.01 AKUSTİK MENFEZ İŞLERİ</v>
      </c>
      <c r="D86" s="87"/>
      <c r="E86" s="76" t="str">
        <f>VLOOKUP($B86,Şablon!$E$3:$Q$255,3,FALSE)</f>
        <v>B KATEGORİ</v>
      </c>
      <c r="F86" s="77" t="str">
        <f>VLOOKUP($B86,Şablon!$E$3:$Q$255,4,FALSE)</f>
        <v>İNŞ</v>
      </c>
      <c r="G86" s="78">
        <f>I86-VLOOKUP($B86,Şablon!$E$3:$Q$255,5,FALSE)</f>
        <v>-133</v>
      </c>
      <c r="H86" s="55"/>
      <c r="I86" s="78">
        <f>K86-VLOOKUP($B86,Şablon!$E$3:$Q$255,6,FALSE)</f>
        <v>-133</v>
      </c>
      <c r="J86" s="55"/>
      <c r="K86" s="78">
        <f>M86-VLOOKUP($B86,Şablon!$E$3:$Q$255,7,FALSE)</f>
        <v>-119</v>
      </c>
      <c r="L86" s="55"/>
      <c r="M86" s="78">
        <f>O86-VLOOKUP($B86,Şablon!$E$3:$Q$255,8,FALSE)</f>
        <v>-105</v>
      </c>
      <c r="N86" s="55"/>
      <c r="O86" s="78">
        <f>Q86-VLOOKUP($B86,Şablon!$E$3:$Q$255,9,FALSE)</f>
        <v>-77</v>
      </c>
      <c r="P86" s="55"/>
      <c r="Q86" s="78">
        <f>S86-VLOOKUP($B86,Şablon!$E$3:$Q$255,10,FALSE)</f>
        <v>-70</v>
      </c>
      <c r="R86" s="55"/>
      <c r="S86" s="78">
        <f>U86-(VLOOKUP($B86,Şablon!$E$3:$Q$255,11,FALSE)+VLOOKUP($B86,Şablon!$E$3:$Q$255,12,FALSE))</f>
        <v>-56</v>
      </c>
      <c r="T86" s="55"/>
      <c r="U86" s="57"/>
      <c r="V86" s="55"/>
      <c r="W86" s="59"/>
      <c r="X86" s="60"/>
      <c r="Y86" s="60"/>
      <c r="Z86" s="60"/>
      <c r="AA86" s="60"/>
      <c r="AB86" s="60"/>
      <c r="AC86" s="136"/>
    </row>
    <row r="87" spans="2:29" ht="19.8" customHeight="1" x14ac:dyDescent="0.3">
      <c r="B87" s="64" t="str">
        <f>Şablon!E86</f>
        <v>IHL.3028.081/1</v>
      </c>
      <c r="C87" s="76" t="str">
        <f>VLOOKUP($B87,Şablon!$E$3:$Q$255,2,FALSE)</f>
        <v xml:space="preserve">15.09.01 (M) HAVUZ TUTAMAK, KAYMAZ, IZGARA MALZEME </v>
      </c>
      <c r="D87" s="87"/>
      <c r="E87" s="76" t="str">
        <f>VLOOKUP($B87,Şablon!$E$3:$Q$255,3,FALSE)</f>
        <v>B KATEGORİ</v>
      </c>
      <c r="F87" s="77" t="str">
        <f>VLOOKUP($B87,Şablon!$E$3:$Q$255,4,FALSE)</f>
        <v>İNŞ</v>
      </c>
      <c r="G87" s="78">
        <f>I87-VLOOKUP($B87,Şablon!$E$3:$Q$255,5,FALSE)</f>
        <v>-130</v>
      </c>
      <c r="H87" s="55"/>
      <c r="I87" s="78">
        <f>K87-VLOOKUP($B87,Şablon!$E$3:$Q$255,6,FALSE)</f>
        <v>-130</v>
      </c>
      <c r="J87" s="55"/>
      <c r="K87" s="78">
        <f>M87-VLOOKUP($B87,Şablon!$E$3:$Q$255,7,FALSE)</f>
        <v>-116</v>
      </c>
      <c r="L87" s="55"/>
      <c r="M87" s="78">
        <f>O87-VLOOKUP($B87,Şablon!$E$3:$Q$255,8,FALSE)</f>
        <v>-109</v>
      </c>
      <c r="N87" s="55"/>
      <c r="O87" s="78">
        <f>Q87-VLOOKUP($B87,Şablon!$E$3:$Q$255,9,FALSE)</f>
        <v>-88</v>
      </c>
      <c r="P87" s="55"/>
      <c r="Q87" s="78">
        <f>S87-VLOOKUP($B87,Şablon!$E$3:$Q$255,10,FALSE)</f>
        <v>-81</v>
      </c>
      <c r="R87" s="55"/>
      <c r="S87" s="78">
        <f>U87-(VLOOKUP($B87,Şablon!$E$3:$Q$255,11,FALSE)+VLOOKUP($B87,Şablon!$E$3:$Q$255,12,FALSE))</f>
        <v>-67</v>
      </c>
      <c r="T87" s="55"/>
      <c r="U87" s="57"/>
      <c r="V87" s="55"/>
      <c r="W87" s="59"/>
      <c r="X87" s="60"/>
      <c r="Y87" s="60"/>
      <c r="Z87" s="60"/>
      <c r="AA87" s="60"/>
      <c r="AB87" s="60"/>
      <c r="AC87" s="136"/>
    </row>
    <row r="88" spans="2:29" ht="19.8" customHeight="1" x14ac:dyDescent="0.3">
      <c r="B88" s="64" t="str">
        <f>Şablon!E87</f>
        <v>IHL.3028.082/1</v>
      </c>
      <c r="C88" s="76" t="str">
        <f>VLOOKUP($B88,Şablon!$E$3:$Q$255,2,FALSE)</f>
        <v>27.00.00 ATIKSU &amp; YAĞMUR SUYU ALTYAPI İŞLERİ</v>
      </c>
      <c r="D88" s="87"/>
      <c r="E88" s="76" t="str">
        <f>VLOOKUP($B88,Şablon!$E$3:$Q$255,3,FALSE)</f>
        <v>B KATEGORİ</v>
      </c>
      <c r="F88" s="77" t="str">
        <f>VLOOKUP($B88,Şablon!$E$3:$Q$255,4,FALSE)</f>
        <v>İNŞ</v>
      </c>
      <c r="G88" s="78">
        <f>I88-VLOOKUP($B88,Şablon!$E$3:$Q$255,5,FALSE)</f>
        <v>-70</v>
      </c>
      <c r="H88" s="55"/>
      <c r="I88" s="78">
        <f>K88-VLOOKUP($B88,Şablon!$E$3:$Q$255,6,FALSE)</f>
        <v>-70</v>
      </c>
      <c r="J88" s="55"/>
      <c r="K88" s="78">
        <f>M88-VLOOKUP($B88,Şablon!$E$3:$Q$255,7,FALSE)</f>
        <v>-56</v>
      </c>
      <c r="L88" s="55"/>
      <c r="M88" s="78">
        <f>O88-VLOOKUP($B88,Şablon!$E$3:$Q$255,8,FALSE)</f>
        <v>-49</v>
      </c>
      <c r="N88" s="55"/>
      <c r="O88" s="78">
        <f>Q88-VLOOKUP($B88,Şablon!$E$3:$Q$255,9,FALSE)</f>
        <v>-28</v>
      </c>
      <c r="P88" s="55"/>
      <c r="Q88" s="78">
        <f>S88-VLOOKUP($B88,Şablon!$E$3:$Q$255,10,FALSE)</f>
        <v>-21</v>
      </c>
      <c r="R88" s="55"/>
      <c r="S88" s="78">
        <f>U88-(VLOOKUP($B88,Şablon!$E$3:$Q$255,11,FALSE)+VLOOKUP($B88,Şablon!$E$3:$Q$255,12,FALSE))</f>
        <v>-7</v>
      </c>
      <c r="T88" s="55"/>
      <c r="U88" s="57"/>
      <c r="V88" s="55"/>
      <c r="W88" s="59"/>
      <c r="X88" s="60"/>
      <c r="Y88" s="60"/>
      <c r="Z88" s="60"/>
      <c r="AA88" s="60"/>
      <c r="AB88" s="60"/>
      <c r="AC88" s="136"/>
    </row>
    <row r="89" spans="2:29" ht="19.8" customHeight="1" x14ac:dyDescent="0.3">
      <c r="B89" s="64" t="str">
        <f>Şablon!E88</f>
        <v>IHL.3028.083/1</v>
      </c>
      <c r="C89" s="76" t="str">
        <f>VLOOKUP($B89,Şablon!$E$3:$Q$255,2,FALSE)</f>
        <v>17.01.00 SAUNA &amp; BUHAR ODASI İŞLERİ</v>
      </c>
      <c r="D89" s="87"/>
      <c r="E89" s="76" t="str">
        <f>VLOOKUP($B89,Şablon!$E$3:$Q$255,3,FALSE)</f>
        <v>B KATEGORİ</v>
      </c>
      <c r="F89" s="77" t="str">
        <f>VLOOKUP($B89,Şablon!$E$3:$Q$255,4,FALSE)</f>
        <v>İNŞ</v>
      </c>
      <c r="G89" s="78">
        <f>I89-VLOOKUP($B89,Şablon!$E$3:$Q$255,5,FALSE)</f>
        <v>-91</v>
      </c>
      <c r="H89" s="55"/>
      <c r="I89" s="78">
        <f>K89-VLOOKUP($B89,Şablon!$E$3:$Q$255,6,FALSE)</f>
        <v>-91</v>
      </c>
      <c r="J89" s="55"/>
      <c r="K89" s="78">
        <f>M89-VLOOKUP($B89,Şablon!$E$3:$Q$255,7,FALSE)</f>
        <v>-77</v>
      </c>
      <c r="L89" s="55"/>
      <c r="M89" s="78">
        <f>O89-VLOOKUP($B89,Şablon!$E$3:$Q$255,8,FALSE)</f>
        <v>-70</v>
      </c>
      <c r="N89" s="55"/>
      <c r="O89" s="78">
        <f>Q89-VLOOKUP($B89,Şablon!$E$3:$Q$255,9,FALSE)</f>
        <v>-56</v>
      </c>
      <c r="P89" s="55"/>
      <c r="Q89" s="78">
        <f>S89-VLOOKUP($B89,Şablon!$E$3:$Q$255,10,FALSE)</f>
        <v>-49</v>
      </c>
      <c r="R89" s="55"/>
      <c r="S89" s="78">
        <f>U89-(VLOOKUP($B89,Şablon!$E$3:$Q$255,11,FALSE)+VLOOKUP($B89,Şablon!$E$3:$Q$255,12,FALSE))</f>
        <v>-35</v>
      </c>
      <c r="T89" s="55"/>
      <c r="U89" s="57"/>
      <c r="V89" s="55"/>
      <c r="W89" s="59"/>
      <c r="X89" s="60"/>
      <c r="Y89" s="60"/>
      <c r="Z89" s="60"/>
      <c r="AA89" s="60"/>
      <c r="AB89" s="60"/>
      <c r="AC89" s="136"/>
    </row>
    <row r="90" spans="2:29" ht="19.8" customHeight="1" x14ac:dyDescent="0.3">
      <c r="B90" s="64" t="str">
        <f>Şablon!E89</f>
        <v>IHL.3028.084/1</v>
      </c>
      <c r="C90" s="76" t="str">
        <f>VLOOKUP($B90,Şablon!$E$3:$Q$255,2,FALSE)</f>
        <v>21.05.00 SOSYAL TESİS CAM BÖLME İŞLERİ</v>
      </c>
      <c r="D90" s="87"/>
      <c r="E90" s="76" t="str">
        <f>VLOOKUP($B90,Şablon!$E$3:$Q$255,3,FALSE)</f>
        <v>B KATEGORİ</v>
      </c>
      <c r="F90" s="77" t="str">
        <f>VLOOKUP($B90,Şablon!$E$3:$Q$255,4,FALSE)</f>
        <v>İNŞ</v>
      </c>
      <c r="G90" s="78">
        <f>I90-VLOOKUP($B90,Şablon!$E$3:$Q$255,5,FALSE)</f>
        <v>-101</v>
      </c>
      <c r="H90" s="55"/>
      <c r="I90" s="78">
        <f>K90-VLOOKUP($B90,Şablon!$E$3:$Q$255,6,FALSE)</f>
        <v>-101</v>
      </c>
      <c r="J90" s="55"/>
      <c r="K90" s="78">
        <f>M90-VLOOKUP($B90,Şablon!$E$3:$Q$255,7,FALSE)</f>
        <v>-87</v>
      </c>
      <c r="L90" s="55"/>
      <c r="M90" s="78">
        <f>O90-VLOOKUP($B90,Şablon!$E$3:$Q$255,8,FALSE)</f>
        <v>-80</v>
      </c>
      <c r="N90" s="55"/>
      <c r="O90" s="78">
        <f>Q90-VLOOKUP($B90,Şablon!$E$3:$Q$255,9,FALSE)</f>
        <v>-66</v>
      </c>
      <c r="P90" s="55"/>
      <c r="Q90" s="78">
        <f>S90-VLOOKUP($B90,Şablon!$E$3:$Q$255,10,FALSE)</f>
        <v>-59</v>
      </c>
      <c r="R90" s="55"/>
      <c r="S90" s="78">
        <f>U90-(VLOOKUP($B90,Şablon!$E$3:$Q$255,11,FALSE)+VLOOKUP($B90,Şablon!$E$3:$Q$255,12,FALSE))</f>
        <v>-52</v>
      </c>
      <c r="T90" s="55"/>
      <c r="U90" s="57"/>
      <c r="V90" s="55"/>
      <c r="W90" s="59"/>
      <c r="X90" s="60"/>
      <c r="Y90" s="60"/>
      <c r="Z90" s="60"/>
      <c r="AA90" s="60"/>
      <c r="AB90" s="60"/>
      <c r="AC90" s="136"/>
    </row>
    <row r="91" spans="2:29" ht="19.8" customHeight="1" x14ac:dyDescent="0.3">
      <c r="B91" s="64" t="str">
        <f>Şablon!E90</f>
        <v>IHL.3028.085/1</v>
      </c>
      <c r="C91" s="76" t="str">
        <f>VLOOKUP($B91,Şablon!$E$3:$Q$255,2,FALSE)</f>
        <v>17.08.01 CUBİCLE İŞLERİ</v>
      </c>
      <c r="D91" s="87"/>
      <c r="E91" s="76" t="str">
        <f>VLOOKUP($B91,Şablon!$E$3:$Q$255,3,FALSE)</f>
        <v>C KATEGORİ</v>
      </c>
      <c r="F91" s="77" t="str">
        <f>VLOOKUP($B91,Şablon!$E$3:$Q$255,4,FALSE)</f>
        <v>İNŞ</v>
      </c>
      <c r="G91" s="78">
        <f>I91-VLOOKUP($B91,Şablon!$E$3:$Q$255,5,FALSE)</f>
        <v>-84</v>
      </c>
      <c r="H91" s="55"/>
      <c r="I91" s="78">
        <f>K91-VLOOKUP($B91,Şablon!$E$3:$Q$255,6,FALSE)</f>
        <v>-84</v>
      </c>
      <c r="J91" s="55"/>
      <c r="K91" s="78">
        <f>M91-VLOOKUP($B91,Şablon!$E$3:$Q$255,7,FALSE)</f>
        <v>-70</v>
      </c>
      <c r="L91" s="55"/>
      <c r="M91" s="78">
        <f>O91-VLOOKUP($B91,Şablon!$E$3:$Q$255,8,FALSE)</f>
        <v>-63</v>
      </c>
      <c r="N91" s="55"/>
      <c r="O91" s="78">
        <f>Q91-VLOOKUP($B91,Şablon!$E$3:$Q$255,9,FALSE)</f>
        <v>-49</v>
      </c>
      <c r="P91" s="55"/>
      <c r="Q91" s="78">
        <f>S91-VLOOKUP($B91,Şablon!$E$3:$Q$255,10,FALSE)</f>
        <v>-42</v>
      </c>
      <c r="R91" s="55"/>
      <c r="S91" s="78">
        <f>U91-(VLOOKUP($B91,Şablon!$E$3:$Q$255,11,FALSE)+VLOOKUP($B91,Şablon!$E$3:$Q$255,12,FALSE))</f>
        <v>-35</v>
      </c>
      <c r="T91" s="55"/>
      <c r="U91" s="57"/>
      <c r="V91" s="55"/>
      <c r="W91" s="59"/>
      <c r="X91" s="60"/>
      <c r="Y91" s="60"/>
      <c r="Z91" s="60"/>
      <c r="AA91" s="60"/>
      <c r="AB91" s="60"/>
      <c r="AC91" s="136"/>
    </row>
    <row r="92" spans="2:29" ht="19.8" customHeight="1" x14ac:dyDescent="0.3">
      <c r="B92" s="64" t="str">
        <f>Şablon!E91</f>
        <v>IHL.3028.086/1</v>
      </c>
      <c r="C92" s="76" t="str">
        <f>VLOOKUP($B92,Şablon!$E$3:$Q$255,2,FALSE)</f>
        <v>21.03.00 DÖNER KAPI</v>
      </c>
      <c r="D92" s="87"/>
      <c r="E92" s="76" t="str">
        <f>VLOOKUP($B92,Şablon!$E$3:$Q$255,3,FALSE)</f>
        <v>B KATEGORİ</v>
      </c>
      <c r="F92" s="77" t="str">
        <f>VLOOKUP($B92,Şablon!$E$3:$Q$255,4,FALSE)</f>
        <v>İNŞ</v>
      </c>
      <c r="G92" s="78">
        <f>I92-VLOOKUP($B92,Şablon!$E$3:$Q$255,5,FALSE)</f>
        <v>-160</v>
      </c>
      <c r="H92" s="55"/>
      <c r="I92" s="78">
        <f>K92-VLOOKUP($B92,Şablon!$E$3:$Q$255,6,FALSE)</f>
        <v>-160</v>
      </c>
      <c r="J92" s="55"/>
      <c r="K92" s="78">
        <f>M92-VLOOKUP($B92,Şablon!$E$3:$Q$255,7,FALSE)</f>
        <v>-146</v>
      </c>
      <c r="L92" s="55"/>
      <c r="M92" s="78">
        <f>O92-VLOOKUP($B92,Şablon!$E$3:$Q$255,8,FALSE)</f>
        <v>-139</v>
      </c>
      <c r="N92" s="55"/>
      <c r="O92" s="78">
        <f>Q92-VLOOKUP($B92,Şablon!$E$3:$Q$255,9,FALSE)</f>
        <v>-118</v>
      </c>
      <c r="P92" s="55"/>
      <c r="Q92" s="78">
        <f>S92-VLOOKUP($B92,Şablon!$E$3:$Q$255,10,FALSE)</f>
        <v>-111</v>
      </c>
      <c r="R92" s="55"/>
      <c r="S92" s="78">
        <f>U92-(VLOOKUP($B92,Şablon!$E$3:$Q$255,11,FALSE)+VLOOKUP($B92,Şablon!$E$3:$Q$255,12,FALSE))</f>
        <v>-97</v>
      </c>
      <c r="T92" s="55"/>
      <c r="U92" s="57"/>
      <c r="V92" s="55"/>
      <c r="W92" s="59"/>
      <c r="X92" s="60"/>
      <c r="Y92" s="60"/>
      <c r="Z92" s="60"/>
      <c r="AA92" s="60"/>
      <c r="AB92" s="60"/>
      <c r="AC92" s="136"/>
    </row>
    <row r="93" spans="2:29" ht="19.8" customHeight="1" x14ac:dyDescent="0.3">
      <c r="B93" s="64" t="str">
        <f>Şablon!E92</f>
        <v>IHL.3028.087/1</v>
      </c>
      <c r="C93" s="76" t="str">
        <f>VLOOKUP($B93,Şablon!$E$3:$Q$255,2,FALSE)</f>
        <v>21.03.01 FOTOSELLİ KAPI</v>
      </c>
      <c r="D93" s="87"/>
      <c r="E93" s="76" t="str">
        <f>VLOOKUP($B93,Şablon!$E$3:$Q$255,3,FALSE)</f>
        <v>B KATEGORİ</v>
      </c>
      <c r="F93" s="77" t="str">
        <f>VLOOKUP($B93,Şablon!$E$3:$Q$255,4,FALSE)</f>
        <v>İNŞ</v>
      </c>
      <c r="G93" s="78">
        <f>I93-VLOOKUP($B93,Şablon!$E$3:$Q$255,5,FALSE)</f>
        <v>-160</v>
      </c>
      <c r="H93" s="55"/>
      <c r="I93" s="78">
        <f>K93-VLOOKUP($B93,Şablon!$E$3:$Q$255,6,FALSE)</f>
        <v>-160</v>
      </c>
      <c r="J93" s="55"/>
      <c r="K93" s="78">
        <f>M93-VLOOKUP($B93,Şablon!$E$3:$Q$255,7,FALSE)</f>
        <v>-146</v>
      </c>
      <c r="L93" s="55"/>
      <c r="M93" s="78">
        <f>O93-VLOOKUP($B93,Şablon!$E$3:$Q$255,8,FALSE)</f>
        <v>-139</v>
      </c>
      <c r="N93" s="55"/>
      <c r="O93" s="78">
        <f>Q93-VLOOKUP($B93,Şablon!$E$3:$Q$255,9,FALSE)</f>
        <v>-118</v>
      </c>
      <c r="P93" s="55"/>
      <c r="Q93" s="78">
        <f>S93-VLOOKUP($B93,Şablon!$E$3:$Q$255,10,FALSE)</f>
        <v>-111</v>
      </c>
      <c r="R93" s="55"/>
      <c r="S93" s="78">
        <f>U93-(VLOOKUP($B93,Şablon!$E$3:$Q$255,11,FALSE)+VLOOKUP($B93,Şablon!$E$3:$Q$255,12,FALSE))</f>
        <v>-97</v>
      </c>
      <c r="T93" s="55"/>
      <c r="U93" s="57"/>
      <c r="V93" s="55"/>
      <c r="W93" s="59"/>
      <c r="X93" s="60"/>
      <c r="Y93" s="60"/>
      <c r="Z93" s="60"/>
      <c r="AA93" s="60"/>
      <c r="AB93" s="60"/>
      <c r="AC93" s="136"/>
    </row>
    <row r="94" spans="2:29" ht="19.8" customHeight="1" x14ac:dyDescent="0.3">
      <c r="B94" s="64" t="str">
        <f>Şablon!E93</f>
        <v>IHL.3028.088/1</v>
      </c>
      <c r="C94" s="76" t="str">
        <f>VLOOKUP($B94,Şablon!$E$3:$Q$255,2,FALSE)</f>
        <v xml:space="preserve">25.06.01 LOBİ SABİT MOBİLYA </v>
      </c>
      <c r="D94" s="87"/>
      <c r="E94" s="76" t="str">
        <f>VLOOKUP($B94,Şablon!$E$3:$Q$255,3,FALSE)</f>
        <v>B KATEGORİ</v>
      </c>
      <c r="F94" s="77" t="str">
        <f>VLOOKUP($B94,Şablon!$E$3:$Q$255,4,FALSE)</f>
        <v>İNŞ</v>
      </c>
      <c r="G94" s="78">
        <f>I94-VLOOKUP($B94,Şablon!$E$3:$Q$255,5,FALSE)</f>
        <v>-137</v>
      </c>
      <c r="H94" s="55"/>
      <c r="I94" s="78">
        <f>K94-VLOOKUP($B94,Şablon!$E$3:$Q$255,6,FALSE)</f>
        <v>-137</v>
      </c>
      <c r="J94" s="55"/>
      <c r="K94" s="78">
        <f>M94-VLOOKUP($B94,Şablon!$E$3:$Q$255,7,FALSE)</f>
        <v>-123</v>
      </c>
      <c r="L94" s="55"/>
      <c r="M94" s="78">
        <f>O94-VLOOKUP($B94,Şablon!$E$3:$Q$255,8,FALSE)</f>
        <v>-109</v>
      </c>
      <c r="N94" s="55"/>
      <c r="O94" s="78">
        <f>Q94-VLOOKUP($B94,Şablon!$E$3:$Q$255,9,FALSE)</f>
        <v>-88</v>
      </c>
      <c r="P94" s="55"/>
      <c r="Q94" s="78">
        <f>S94-VLOOKUP($B94,Şablon!$E$3:$Q$255,10,FALSE)</f>
        <v>-81</v>
      </c>
      <c r="R94" s="55"/>
      <c r="S94" s="78">
        <f>U94-(VLOOKUP($B94,Şablon!$E$3:$Q$255,11,FALSE)+VLOOKUP($B94,Şablon!$E$3:$Q$255,12,FALSE))</f>
        <v>-74</v>
      </c>
      <c r="T94" s="55"/>
      <c r="U94" s="57"/>
      <c r="V94" s="55"/>
      <c r="W94" s="59"/>
      <c r="X94" s="60"/>
      <c r="Y94" s="60"/>
      <c r="Z94" s="60"/>
      <c r="AA94" s="60"/>
      <c r="AB94" s="60"/>
      <c r="AC94" s="136"/>
    </row>
    <row r="95" spans="2:29" ht="19.8" customHeight="1" x14ac:dyDescent="0.3">
      <c r="B95" s="64" t="str">
        <f>Şablon!E94</f>
        <v>IHL.3028.089/1</v>
      </c>
      <c r="C95" s="76" t="str">
        <f>VLOOKUP($B95,Şablon!$E$3:$Q$255,2,FALSE)</f>
        <v xml:space="preserve">25.06.00 SOSYAL TESİS SABİT MOBİLYA </v>
      </c>
      <c r="D95" s="87"/>
      <c r="E95" s="76" t="str">
        <f>VLOOKUP($B95,Şablon!$E$3:$Q$255,3,FALSE)</f>
        <v>B KATEGORİ</v>
      </c>
      <c r="F95" s="77" t="str">
        <f>VLOOKUP($B95,Şablon!$E$3:$Q$255,4,FALSE)</f>
        <v>İNŞ</v>
      </c>
      <c r="G95" s="78">
        <f>I95-VLOOKUP($B95,Şablon!$E$3:$Q$255,5,FALSE)</f>
        <v>-137</v>
      </c>
      <c r="H95" s="55"/>
      <c r="I95" s="78">
        <f>K95-VLOOKUP($B95,Şablon!$E$3:$Q$255,6,FALSE)</f>
        <v>-137</v>
      </c>
      <c r="J95" s="55"/>
      <c r="K95" s="78">
        <f>M95-VLOOKUP($B95,Şablon!$E$3:$Q$255,7,FALSE)</f>
        <v>-123</v>
      </c>
      <c r="L95" s="55"/>
      <c r="M95" s="78">
        <f>O95-VLOOKUP($B95,Şablon!$E$3:$Q$255,8,FALSE)</f>
        <v>-109</v>
      </c>
      <c r="N95" s="55"/>
      <c r="O95" s="78">
        <f>Q95-VLOOKUP($B95,Şablon!$E$3:$Q$255,9,FALSE)</f>
        <v>-88</v>
      </c>
      <c r="P95" s="55"/>
      <c r="Q95" s="78">
        <f>S95-VLOOKUP($B95,Şablon!$E$3:$Q$255,10,FALSE)</f>
        <v>-81</v>
      </c>
      <c r="R95" s="55"/>
      <c r="S95" s="78">
        <f>U95-(VLOOKUP($B95,Şablon!$E$3:$Q$255,11,FALSE)+VLOOKUP($B95,Şablon!$E$3:$Q$255,12,FALSE))</f>
        <v>-74</v>
      </c>
      <c r="T95" s="55"/>
      <c r="U95" s="57"/>
      <c r="V95" s="55"/>
      <c r="W95" s="59"/>
      <c r="X95" s="60"/>
      <c r="Y95" s="60"/>
      <c r="Z95" s="60"/>
      <c r="AA95" s="60"/>
      <c r="AB95" s="60"/>
      <c r="AC95" s="136"/>
    </row>
    <row r="96" spans="2:29" ht="19.8" customHeight="1" x14ac:dyDescent="0.3">
      <c r="B96" s="64" t="str">
        <f>Şablon!E95</f>
        <v>IHL.3028.090/1</v>
      </c>
      <c r="C96" s="76" t="str">
        <f>VLOOKUP($B96,Şablon!$E$3:$Q$255,2,FALSE)</f>
        <v>17.05.00 (M) SPOR ALETLERİ</v>
      </c>
      <c r="D96" s="87"/>
      <c r="E96" s="76" t="str">
        <f>VLOOKUP($B96,Şablon!$E$3:$Q$255,3,FALSE)</f>
        <v>B KATEGORİ</v>
      </c>
      <c r="F96" s="77" t="str">
        <f>VLOOKUP($B96,Şablon!$E$3:$Q$255,4,FALSE)</f>
        <v>İNŞ</v>
      </c>
      <c r="G96" s="78">
        <f>I96-VLOOKUP($B96,Şablon!$E$3:$Q$255,5,FALSE)</f>
        <v>-144</v>
      </c>
      <c r="H96" s="55"/>
      <c r="I96" s="78">
        <f>K96-VLOOKUP($B96,Şablon!$E$3:$Q$255,6,FALSE)</f>
        <v>-144</v>
      </c>
      <c r="J96" s="55"/>
      <c r="K96" s="78">
        <f>M96-VLOOKUP($B96,Şablon!$E$3:$Q$255,7,FALSE)</f>
        <v>-130</v>
      </c>
      <c r="L96" s="55"/>
      <c r="M96" s="78">
        <f>O96-VLOOKUP($B96,Şablon!$E$3:$Q$255,8,FALSE)</f>
        <v>-116</v>
      </c>
      <c r="N96" s="55"/>
      <c r="O96" s="78">
        <f>Q96-VLOOKUP($B96,Şablon!$E$3:$Q$255,9,FALSE)</f>
        <v>-88</v>
      </c>
      <c r="P96" s="55"/>
      <c r="Q96" s="78">
        <f>S96-VLOOKUP($B96,Şablon!$E$3:$Q$255,10,FALSE)</f>
        <v>-81</v>
      </c>
      <c r="R96" s="55"/>
      <c r="S96" s="78">
        <f>U96-(VLOOKUP($B96,Şablon!$E$3:$Q$255,11,FALSE)+VLOOKUP($B96,Şablon!$E$3:$Q$255,12,FALSE))</f>
        <v>-67</v>
      </c>
      <c r="T96" s="55"/>
      <c r="U96" s="57"/>
      <c r="V96" s="55"/>
      <c r="W96" s="59"/>
      <c r="X96" s="60"/>
      <c r="Y96" s="60"/>
      <c r="Z96" s="60"/>
      <c r="AA96" s="60"/>
      <c r="AB96" s="60"/>
      <c r="AC96" s="136"/>
    </row>
    <row r="97" spans="2:29" ht="19.8" customHeight="1" x14ac:dyDescent="0.3">
      <c r="B97" s="64" t="str">
        <f>Şablon!E96</f>
        <v>IHL.3028.091/1</v>
      </c>
      <c r="C97" s="76" t="str">
        <f>VLOOKUP($B97,Şablon!$E$3:$Q$255,2,FALSE)</f>
        <v>15.06.03 (M) LAMİNANT PARKE MALZEME</v>
      </c>
      <c r="D97" s="87"/>
      <c r="E97" s="76" t="str">
        <f>VLOOKUP($B97,Şablon!$E$3:$Q$255,3,FALSE)</f>
        <v>B KATEGORİ</v>
      </c>
      <c r="F97" s="77" t="str">
        <f>VLOOKUP($B97,Şablon!$E$3:$Q$255,4,FALSE)</f>
        <v>İNŞ</v>
      </c>
      <c r="G97" s="78">
        <f>I97-VLOOKUP($B97,Şablon!$E$3:$Q$255,5,FALSE)</f>
        <v>-49</v>
      </c>
      <c r="H97" s="55"/>
      <c r="I97" s="78">
        <f>K97-VLOOKUP($B97,Şablon!$E$3:$Q$255,6,FALSE)</f>
        <v>-49</v>
      </c>
      <c r="J97" s="55"/>
      <c r="K97" s="78">
        <f>M97-VLOOKUP($B97,Şablon!$E$3:$Q$255,7,FALSE)</f>
        <v>-35</v>
      </c>
      <c r="L97" s="55"/>
      <c r="M97" s="78">
        <f>O97-VLOOKUP($B97,Şablon!$E$3:$Q$255,8,FALSE)</f>
        <v>-28</v>
      </c>
      <c r="N97" s="55"/>
      <c r="O97" s="78">
        <f>Q97-VLOOKUP($B97,Şablon!$E$3:$Q$255,9,FALSE)</f>
        <v>-21</v>
      </c>
      <c r="P97" s="55"/>
      <c r="Q97" s="78">
        <f>S97-VLOOKUP($B97,Şablon!$E$3:$Q$255,10,FALSE)</f>
        <v>-14</v>
      </c>
      <c r="R97" s="55"/>
      <c r="S97" s="78">
        <f>U97-(VLOOKUP($B97,Şablon!$E$3:$Q$255,11,FALSE)+VLOOKUP($B97,Şablon!$E$3:$Q$255,12,FALSE))</f>
        <v>-7</v>
      </c>
      <c r="T97" s="55"/>
      <c r="U97" s="57"/>
      <c r="V97" s="55"/>
      <c r="W97" s="59"/>
      <c r="X97" s="60"/>
      <c r="Y97" s="60"/>
      <c r="Z97" s="60"/>
      <c r="AA97" s="60"/>
      <c r="AB97" s="60"/>
      <c r="AC97" s="136"/>
    </row>
    <row r="98" spans="2:29" ht="19.8" customHeight="1" x14ac:dyDescent="0.3">
      <c r="B98" s="64" t="str">
        <f>Şablon!E97</f>
        <v>IHL.3028.092/1</v>
      </c>
      <c r="C98" s="76" t="str">
        <f>VLOOKUP($B98,Şablon!$E$3:$Q$255,2,FALSE)</f>
        <v>15.06.03 LAMİNANT PARKE</v>
      </c>
      <c r="D98" s="87"/>
      <c r="E98" s="76" t="str">
        <f>VLOOKUP($B98,Şablon!$E$3:$Q$255,3,FALSE)</f>
        <v>B KATEGORİ</v>
      </c>
      <c r="F98" s="77" t="str">
        <f>VLOOKUP($B98,Şablon!$E$3:$Q$255,4,FALSE)</f>
        <v>İNŞ</v>
      </c>
      <c r="G98" s="78">
        <f>I98-VLOOKUP($B98,Şablon!$E$3:$Q$255,5,FALSE)</f>
        <v>-49</v>
      </c>
      <c r="H98" s="55"/>
      <c r="I98" s="78">
        <f>K98-VLOOKUP($B98,Şablon!$E$3:$Q$255,6,FALSE)</f>
        <v>-49</v>
      </c>
      <c r="J98" s="55"/>
      <c r="K98" s="78">
        <f>M98-VLOOKUP($B98,Şablon!$E$3:$Q$255,7,FALSE)</f>
        <v>-35</v>
      </c>
      <c r="L98" s="55"/>
      <c r="M98" s="78">
        <f>O98-VLOOKUP($B98,Şablon!$E$3:$Q$255,8,FALSE)</f>
        <v>-28</v>
      </c>
      <c r="N98" s="55"/>
      <c r="O98" s="78">
        <f>Q98-VLOOKUP($B98,Şablon!$E$3:$Q$255,9,FALSE)</f>
        <v>-21</v>
      </c>
      <c r="P98" s="55"/>
      <c r="Q98" s="78">
        <f>S98-VLOOKUP($B98,Şablon!$E$3:$Q$255,10,FALSE)</f>
        <v>-14</v>
      </c>
      <c r="R98" s="55"/>
      <c r="S98" s="78">
        <f>U98-(VLOOKUP($B98,Şablon!$E$3:$Q$255,11,FALSE)+VLOOKUP($B98,Şablon!$E$3:$Q$255,12,FALSE))</f>
        <v>-7</v>
      </c>
      <c r="T98" s="55"/>
      <c r="U98" s="57"/>
      <c r="V98" s="55"/>
      <c r="W98" s="59"/>
      <c r="X98" s="60"/>
      <c r="Y98" s="60"/>
      <c r="Z98" s="60"/>
      <c r="AA98" s="60"/>
      <c r="AB98" s="60"/>
      <c r="AC98" s="136"/>
    </row>
    <row r="99" spans="2:29" ht="19.8" customHeight="1" x14ac:dyDescent="0.3">
      <c r="B99" s="64" t="str">
        <f>Şablon!E98</f>
        <v>IHL.3028.093/1</v>
      </c>
      <c r="C99" s="76" t="str">
        <f>VLOOKUP($B99,Şablon!$E$3:$Q$255,2,FALSE)</f>
        <v>29.03.00  (M) SERT PEYZAJ MALZEMELERİ</v>
      </c>
      <c r="D99" s="87"/>
      <c r="E99" s="76" t="str">
        <f>VLOOKUP($B99,Şablon!$E$3:$Q$255,3,FALSE)</f>
        <v>B KATEGORİ</v>
      </c>
      <c r="F99" s="77" t="str">
        <f>VLOOKUP($B99,Şablon!$E$3:$Q$255,4,FALSE)</f>
        <v>İNŞ</v>
      </c>
      <c r="G99" s="78">
        <f>I99-VLOOKUP($B99,Şablon!$E$3:$Q$255,5,FALSE)</f>
        <v>-70</v>
      </c>
      <c r="H99" s="55"/>
      <c r="I99" s="78">
        <f>K99-VLOOKUP($B99,Şablon!$E$3:$Q$255,6,FALSE)</f>
        <v>-70</v>
      </c>
      <c r="J99" s="55"/>
      <c r="K99" s="78">
        <f>M99-VLOOKUP($B99,Şablon!$E$3:$Q$255,7,FALSE)</f>
        <v>-56</v>
      </c>
      <c r="L99" s="55"/>
      <c r="M99" s="78">
        <f>O99-VLOOKUP($B99,Şablon!$E$3:$Q$255,8,FALSE)</f>
        <v>-49</v>
      </c>
      <c r="N99" s="55"/>
      <c r="O99" s="78">
        <f>Q99-VLOOKUP($B99,Şablon!$E$3:$Q$255,9,FALSE)</f>
        <v>-35</v>
      </c>
      <c r="P99" s="55"/>
      <c r="Q99" s="78">
        <f>S99-VLOOKUP($B99,Şablon!$E$3:$Q$255,10,FALSE)</f>
        <v>-28</v>
      </c>
      <c r="R99" s="55"/>
      <c r="S99" s="78">
        <f>U99-(VLOOKUP($B99,Şablon!$E$3:$Q$255,11,FALSE)+VLOOKUP($B99,Şablon!$E$3:$Q$255,12,FALSE))</f>
        <v>-21</v>
      </c>
      <c r="T99" s="55"/>
      <c r="U99" s="57"/>
      <c r="V99" s="55"/>
      <c r="W99" s="59"/>
      <c r="X99" s="60"/>
      <c r="Y99" s="60"/>
      <c r="Z99" s="60"/>
      <c r="AA99" s="60"/>
      <c r="AB99" s="60"/>
      <c r="AC99" s="136"/>
    </row>
    <row r="100" spans="2:29" ht="19.8" customHeight="1" x14ac:dyDescent="0.3">
      <c r="B100" s="64" t="str">
        <f>Şablon!E99</f>
        <v>IHL.3028.094/1</v>
      </c>
      <c r="C100" s="76" t="str">
        <f>VLOOKUP($B100,Şablon!$E$3:$Q$255,2,FALSE)</f>
        <v>29.03.00 SERT PEYZAJ İŞLERİ</v>
      </c>
      <c r="D100" s="87"/>
      <c r="E100" s="76" t="str">
        <f>VLOOKUP($B100,Şablon!$E$3:$Q$255,3,FALSE)</f>
        <v>B KATEGORİ</v>
      </c>
      <c r="F100" s="77" t="str">
        <f>VLOOKUP($B100,Şablon!$E$3:$Q$255,4,FALSE)</f>
        <v>İNŞ</v>
      </c>
      <c r="G100" s="78">
        <f>I100-VLOOKUP($B100,Şablon!$E$3:$Q$255,5,FALSE)</f>
        <v>-56</v>
      </c>
      <c r="H100" s="55"/>
      <c r="I100" s="78">
        <f>K100-VLOOKUP($B100,Şablon!$E$3:$Q$255,6,FALSE)</f>
        <v>-56</v>
      </c>
      <c r="J100" s="55"/>
      <c r="K100" s="78">
        <f>M100-VLOOKUP($B100,Şablon!$E$3:$Q$255,7,FALSE)</f>
        <v>-42</v>
      </c>
      <c r="L100" s="55"/>
      <c r="M100" s="78">
        <f>O100-VLOOKUP($B100,Şablon!$E$3:$Q$255,8,FALSE)</f>
        <v>-35</v>
      </c>
      <c r="N100" s="55"/>
      <c r="O100" s="78">
        <f>Q100-VLOOKUP($B100,Şablon!$E$3:$Q$255,9,FALSE)</f>
        <v>-21</v>
      </c>
      <c r="P100" s="55"/>
      <c r="Q100" s="78">
        <f>S100-VLOOKUP($B100,Şablon!$E$3:$Q$255,10,FALSE)</f>
        <v>-14</v>
      </c>
      <c r="R100" s="55"/>
      <c r="S100" s="78">
        <f>U100-(VLOOKUP($B100,Şablon!$E$3:$Q$255,11,FALSE)+VLOOKUP($B100,Şablon!$E$3:$Q$255,12,FALSE))</f>
        <v>-7</v>
      </c>
      <c r="T100" s="55"/>
      <c r="U100" s="57"/>
      <c r="V100" s="55"/>
      <c r="W100" s="59"/>
      <c r="X100" s="60"/>
      <c r="Y100" s="60"/>
      <c r="Z100" s="60"/>
      <c r="AA100" s="60"/>
      <c r="AB100" s="60"/>
      <c r="AC100" s="136"/>
    </row>
    <row r="101" spans="2:29" ht="19.8" customHeight="1" x14ac:dyDescent="0.3">
      <c r="B101" s="64" t="str">
        <f>Şablon!E100</f>
        <v>IHL.3028.095/1</v>
      </c>
      <c r="C101" s="76" t="str">
        <f>VLOOKUP($B101,Şablon!$E$3:$Q$255,2,FALSE)</f>
        <v>29.03.01 (M) PEYZAJ BASAMAK MALZEMELERİ</v>
      </c>
      <c r="D101" s="87"/>
      <c r="E101" s="76" t="str">
        <f>VLOOKUP($B101,Şablon!$E$3:$Q$255,3,FALSE)</f>
        <v>B KATEGORİ</v>
      </c>
      <c r="F101" s="77" t="str">
        <f>VLOOKUP($B101,Şablon!$E$3:$Q$255,4,FALSE)</f>
        <v>İNŞ</v>
      </c>
      <c r="G101" s="78">
        <f>I101-VLOOKUP($B101,Şablon!$E$3:$Q$255,5,FALSE)</f>
        <v>-84</v>
      </c>
      <c r="H101" s="55"/>
      <c r="I101" s="78">
        <f>K101-VLOOKUP($B101,Şablon!$E$3:$Q$255,6,FALSE)</f>
        <v>-84</v>
      </c>
      <c r="J101" s="55"/>
      <c r="K101" s="78">
        <f>M101-VLOOKUP($B101,Şablon!$E$3:$Q$255,7,FALSE)</f>
        <v>-70</v>
      </c>
      <c r="L101" s="55"/>
      <c r="M101" s="78">
        <f>O101-VLOOKUP($B101,Şablon!$E$3:$Q$255,8,FALSE)</f>
        <v>-63</v>
      </c>
      <c r="N101" s="55"/>
      <c r="O101" s="78">
        <f>Q101-VLOOKUP($B101,Şablon!$E$3:$Q$255,9,FALSE)</f>
        <v>-49</v>
      </c>
      <c r="P101" s="55"/>
      <c r="Q101" s="78">
        <f>S101-VLOOKUP($B101,Şablon!$E$3:$Q$255,10,FALSE)</f>
        <v>-42</v>
      </c>
      <c r="R101" s="55"/>
      <c r="S101" s="78">
        <f>U101-(VLOOKUP($B101,Şablon!$E$3:$Q$255,11,FALSE)+VLOOKUP($B101,Şablon!$E$3:$Q$255,12,FALSE))</f>
        <v>-35</v>
      </c>
      <c r="T101" s="55"/>
      <c r="U101" s="57"/>
      <c r="V101" s="55"/>
      <c r="W101" s="59"/>
      <c r="X101" s="60"/>
      <c r="Y101" s="60"/>
      <c r="Z101" s="60"/>
      <c r="AA101" s="60"/>
      <c r="AB101" s="60"/>
      <c r="AC101" s="136"/>
    </row>
    <row r="102" spans="2:29" ht="19.8" customHeight="1" x14ac:dyDescent="0.3">
      <c r="B102" s="64" t="str">
        <f>Şablon!E101</f>
        <v>IHL.3028.096/1</v>
      </c>
      <c r="C102" s="76" t="str">
        <f>VLOOKUP($B102,Şablon!$E$3:$Q$255,2,FALSE)</f>
        <v>29.03.01 PEYZAJ BASAMAK İŞLERİ</v>
      </c>
      <c r="D102" s="87"/>
      <c r="E102" s="76" t="str">
        <f>VLOOKUP($B102,Şablon!$E$3:$Q$255,3,FALSE)</f>
        <v>B KATEGORİ</v>
      </c>
      <c r="F102" s="77" t="str">
        <f>VLOOKUP($B102,Şablon!$E$3:$Q$255,4,FALSE)</f>
        <v>İNŞ</v>
      </c>
      <c r="G102" s="78">
        <f>I102-VLOOKUP($B102,Şablon!$E$3:$Q$255,5,FALSE)</f>
        <v>-56</v>
      </c>
      <c r="H102" s="55"/>
      <c r="I102" s="78">
        <f>K102-VLOOKUP($B102,Şablon!$E$3:$Q$255,6,FALSE)</f>
        <v>-56</v>
      </c>
      <c r="J102" s="55"/>
      <c r="K102" s="78">
        <f>M102-VLOOKUP($B102,Şablon!$E$3:$Q$255,7,FALSE)</f>
        <v>-42</v>
      </c>
      <c r="L102" s="55"/>
      <c r="M102" s="78">
        <f>O102-VLOOKUP($B102,Şablon!$E$3:$Q$255,8,FALSE)</f>
        <v>-35</v>
      </c>
      <c r="N102" s="55"/>
      <c r="O102" s="78">
        <f>Q102-VLOOKUP($B102,Şablon!$E$3:$Q$255,9,FALSE)</f>
        <v>-21</v>
      </c>
      <c r="P102" s="55"/>
      <c r="Q102" s="78">
        <f>S102-VLOOKUP($B102,Şablon!$E$3:$Q$255,10,FALSE)</f>
        <v>-14</v>
      </c>
      <c r="R102" s="55"/>
      <c r="S102" s="78">
        <f>U102-(VLOOKUP($B102,Şablon!$E$3:$Q$255,11,FALSE)+VLOOKUP($B102,Şablon!$E$3:$Q$255,12,FALSE))</f>
        <v>-7</v>
      </c>
      <c r="T102" s="55"/>
      <c r="U102" s="57"/>
      <c r="V102" s="55"/>
      <c r="W102" s="59"/>
      <c r="X102" s="60"/>
      <c r="Y102" s="60"/>
      <c r="Z102" s="60"/>
      <c r="AA102" s="60"/>
      <c r="AB102" s="60"/>
      <c r="AC102" s="136"/>
    </row>
    <row r="103" spans="2:29" ht="19.8" customHeight="1" x14ac:dyDescent="0.3">
      <c r="B103" s="64" t="str">
        <f>Şablon!E102</f>
        <v>IHL.3028.097/1</v>
      </c>
      <c r="C103" s="76" t="str">
        <f>VLOOKUP($B103,Şablon!$E$3:$Q$255,2,FALSE)</f>
        <v>29.04.00 (M) THERMOWOOD MALZEMELERİ</v>
      </c>
      <c r="D103" s="87"/>
      <c r="E103" s="76" t="str">
        <f>VLOOKUP($B103,Şablon!$E$3:$Q$255,3,FALSE)</f>
        <v>B KATEGORİ</v>
      </c>
      <c r="F103" s="77" t="str">
        <f>VLOOKUP($B103,Şablon!$E$3:$Q$255,4,FALSE)</f>
        <v>İNŞ</v>
      </c>
      <c r="G103" s="78">
        <f>I103-VLOOKUP($B103,Şablon!$E$3:$Q$255,5,FALSE)</f>
        <v>-77</v>
      </c>
      <c r="H103" s="55"/>
      <c r="I103" s="78">
        <f>K103-VLOOKUP($B103,Şablon!$E$3:$Q$255,6,FALSE)</f>
        <v>-77</v>
      </c>
      <c r="J103" s="55"/>
      <c r="K103" s="78">
        <f>M103-VLOOKUP($B103,Şablon!$E$3:$Q$255,7,FALSE)</f>
        <v>-63</v>
      </c>
      <c r="L103" s="55"/>
      <c r="M103" s="78">
        <f>O103-VLOOKUP($B103,Şablon!$E$3:$Q$255,8,FALSE)</f>
        <v>-56</v>
      </c>
      <c r="N103" s="55"/>
      <c r="O103" s="78">
        <f>Q103-VLOOKUP($B103,Şablon!$E$3:$Q$255,9,FALSE)</f>
        <v>-42</v>
      </c>
      <c r="P103" s="55"/>
      <c r="Q103" s="78">
        <f>S103-VLOOKUP($B103,Şablon!$E$3:$Q$255,10,FALSE)</f>
        <v>-35</v>
      </c>
      <c r="R103" s="55"/>
      <c r="S103" s="78">
        <f>U103-(VLOOKUP($B103,Şablon!$E$3:$Q$255,11,FALSE)+VLOOKUP($B103,Şablon!$E$3:$Q$255,12,FALSE))</f>
        <v>-28</v>
      </c>
      <c r="T103" s="55"/>
      <c r="U103" s="57"/>
      <c r="V103" s="55"/>
      <c r="W103" s="59"/>
      <c r="X103" s="60"/>
      <c r="Y103" s="60"/>
      <c r="Z103" s="60"/>
      <c r="AA103" s="60"/>
      <c r="AB103" s="60"/>
      <c r="AC103" s="136"/>
    </row>
    <row r="104" spans="2:29" ht="19.8" customHeight="1" x14ac:dyDescent="0.3">
      <c r="B104" s="64" t="str">
        <f>Şablon!E103</f>
        <v>IHL.3028.098/1</v>
      </c>
      <c r="C104" s="76" t="str">
        <f>VLOOKUP($B104,Şablon!$E$3:$Q$255,2,FALSE)</f>
        <v>29.04.00 THERMOWOOD İŞLERİ</v>
      </c>
      <c r="D104" s="87"/>
      <c r="E104" s="76" t="str">
        <f>VLOOKUP($B104,Şablon!$E$3:$Q$255,3,FALSE)</f>
        <v>B KATEGORİ</v>
      </c>
      <c r="F104" s="77" t="str">
        <f>VLOOKUP($B104,Şablon!$E$3:$Q$255,4,FALSE)</f>
        <v>İNŞ</v>
      </c>
      <c r="G104" s="78">
        <f>I104-VLOOKUP($B104,Şablon!$E$3:$Q$255,5,FALSE)</f>
        <v>-56</v>
      </c>
      <c r="H104" s="55"/>
      <c r="I104" s="78">
        <f>K104-VLOOKUP($B104,Şablon!$E$3:$Q$255,6,FALSE)</f>
        <v>-56</v>
      </c>
      <c r="J104" s="55"/>
      <c r="K104" s="78">
        <f>M104-VLOOKUP($B104,Şablon!$E$3:$Q$255,7,FALSE)</f>
        <v>-42</v>
      </c>
      <c r="L104" s="55"/>
      <c r="M104" s="78">
        <f>O104-VLOOKUP($B104,Şablon!$E$3:$Q$255,8,FALSE)</f>
        <v>-35</v>
      </c>
      <c r="N104" s="55"/>
      <c r="O104" s="78">
        <f>Q104-VLOOKUP($B104,Şablon!$E$3:$Q$255,9,FALSE)</f>
        <v>-21</v>
      </c>
      <c r="P104" s="55"/>
      <c r="Q104" s="78">
        <f>S104-VLOOKUP($B104,Şablon!$E$3:$Q$255,10,FALSE)</f>
        <v>-14</v>
      </c>
      <c r="R104" s="55"/>
      <c r="S104" s="78">
        <f>U104-(VLOOKUP($B104,Şablon!$E$3:$Q$255,11,FALSE)+VLOOKUP($B104,Şablon!$E$3:$Q$255,12,FALSE))</f>
        <v>-7</v>
      </c>
      <c r="T104" s="55"/>
      <c r="U104" s="57"/>
      <c r="V104" s="55"/>
      <c r="W104" s="59"/>
      <c r="X104" s="60"/>
      <c r="Y104" s="60"/>
      <c r="Z104" s="60"/>
      <c r="AA104" s="60"/>
      <c r="AB104" s="60"/>
      <c r="AC104" s="136"/>
    </row>
    <row r="105" spans="2:29" ht="19.8" customHeight="1" x14ac:dyDescent="0.3">
      <c r="B105" s="64" t="str">
        <f>Şablon!E104</f>
        <v>IHL.3028.099/1</v>
      </c>
      <c r="C105" s="76" t="str">
        <f>VLOOKUP($B105,Şablon!$E$3:$Q$255,2,FALSE)</f>
        <v>29.01.00 BİTKİSEL PEYZAJ İŞLERİ</v>
      </c>
      <c r="D105" s="87"/>
      <c r="E105" s="76" t="str">
        <f>VLOOKUP($B105,Şablon!$E$3:$Q$255,3,FALSE)</f>
        <v>A KATEGORİ</v>
      </c>
      <c r="F105" s="77" t="str">
        <f>VLOOKUP($B105,Şablon!$E$3:$Q$255,4,FALSE)</f>
        <v>İNŞ</v>
      </c>
      <c r="G105" s="78">
        <f>I105-VLOOKUP($B105,Şablon!$E$3:$Q$255,5,FALSE)</f>
        <v>-125</v>
      </c>
      <c r="H105" s="55"/>
      <c r="I105" s="78">
        <f>K105-VLOOKUP($B105,Şablon!$E$3:$Q$255,6,FALSE)</f>
        <v>-125</v>
      </c>
      <c r="J105" s="55"/>
      <c r="K105" s="78">
        <f>M105-VLOOKUP($B105,Şablon!$E$3:$Q$255,7,FALSE)</f>
        <v>-104</v>
      </c>
      <c r="L105" s="55"/>
      <c r="M105" s="78">
        <f>O105-VLOOKUP($B105,Şablon!$E$3:$Q$255,8,FALSE)</f>
        <v>-90</v>
      </c>
      <c r="N105" s="55"/>
      <c r="O105" s="78">
        <f>Q105-VLOOKUP($B105,Şablon!$E$3:$Q$255,9,FALSE)</f>
        <v>-45</v>
      </c>
      <c r="P105" s="55"/>
      <c r="Q105" s="78">
        <f>S105-VLOOKUP($B105,Şablon!$E$3:$Q$255,10,FALSE)</f>
        <v>-35</v>
      </c>
      <c r="R105" s="55"/>
      <c r="S105" s="78">
        <f>U105-(VLOOKUP($B105,Şablon!$E$3:$Q$255,11,FALSE)+VLOOKUP($B105,Şablon!$E$3:$Q$255,12,FALSE))</f>
        <v>-21</v>
      </c>
      <c r="T105" s="55"/>
      <c r="U105" s="57"/>
      <c r="V105" s="55"/>
      <c r="W105" s="59"/>
      <c r="X105" s="60"/>
      <c r="Y105" s="60"/>
      <c r="Z105" s="60"/>
      <c r="AA105" s="60"/>
      <c r="AB105" s="60"/>
      <c r="AC105" s="136"/>
    </row>
    <row r="106" spans="2:29" ht="19.8" customHeight="1" x14ac:dyDescent="0.3">
      <c r="B106" s="64" t="str">
        <f>Şablon!E105</f>
        <v>IHL.3028.100/1</v>
      </c>
      <c r="C106" s="76" t="str">
        <f>VLOOKUP($B106,Şablon!$E$3:$Q$255,2,FALSE)</f>
        <v>29.04.01 EPDM ZEMİN KAPLAMA İŞLERİ</v>
      </c>
      <c r="D106" s="87"/>
      <c r="E106" s="76" t="str">
        <f>VLOOKUP($B106,Şablon!$E$3:$Q$255,3,FALSE)</f>
        <v>B KATEGORİ</v>
      </c>
      <c r="F106" s="77" t="str">
        <f>VLOOKUP($B106,Şablon!$E$3:$Q$255,4,FALSE)</f>
        <v>İNŞ</v>
      </c>
      <c r="G106" s="78">
        <f>I106-VLOOKUP($B106,Şablon!$E$3:$Q$255,5,FALSE)</f>
        <v>-56</v>
      </c>
      <c r="H106" s="55"/>
      <c r="I106" s="78">
        <f>K106-VLOOKUP($B106,Şablon!$E$3:$Q$255,6,FALSE)</f>
        <v>-56</v>
      </c>
      <c r="J106" s="55"/>
      <c r="K106" s="78">
        <f>M106-VLOOKUP($B106,Şablon!$E$3:$Q$255,7,FALSE)</f>
        <v>-42</v>
      </c>
      <c r="L106" s="55"/>
      <c r="M106" s="78">
        <f>O106-VLOOKUP($B106,Şablon!$E$3:$Q$255,8,FALSE)</f>
        <v>-35</v>
      </c>
      <c r="N106" s="55"/>
      <c r="O106" s="78">
        <f>Q106-VLOOKUP($B106,Şablon!$E$3:$Q$255,9,FALSE)</f>
        <v>-28</v>
      </c>
      <c r="P106" s="55"/>
      <c r="Q106" s="78">
        <f>S106-VLOOKUP($B106,Şablon!$E$3:$Q$255,10,FALSE)</f>
        <v>-21</v>
      </c>
      <c r="R106" s="55"/>
      <c r="S106" s="78">
        <f>U106-(VLOOKUP($B106,Şablon!$E$3:$Q$255,11,FALSE)+VLOOKUP($B106,Şablon!$E$3:$Q$255,12,FALSE))</f>
        <v>-14</v>
      </c>
      <c r="T106" s="55"/>
      <c r="U106" s="57"/>
      <c r="V106" s="55"/>
      <c r="W106" s="59"/>
      <c r="X106" s="60"/>
      <c r="Y106" s="60"/>
      <c r="Z106" s="60"/>
      <c r="AA106" s="60"/>
      <c r="AB106" s="60"/>
      <c r="AC106" s="136"/>
    </row>
    <row r="107" spans="2:29" ht="19.8" customHeight="1" x14ac:dyDescent="0.3">
      <c r="B107" s="64" t="str">
        <f>Şablon!E106</f>
        <v>IHL.3028.101/1</v>
      </c>
      <c r="C107" s="76" t="str">
        <f>VLOOKUP($B107,Şablon!$E$3:$Q$255,2,FALSE)</f>
        <v>15.15.03 TRAFİK YÖNLENDİRME İŞLERİ</v>
      </c>
      <c r="D107" s="87"/>
      <c r="E107" s="76" t="str">
        <f>VLOOKUP($B107,Şablon!$E$3:$Q$255,3,FALSE)</f>
        <v>B KATEGORİ</v>
      </c>
      <c r="F107" s="77" t="str">
        <f>VLOOKUP($B107,Şablon!$E$3:$Q$255,4,FALSE)</f>
        <v>İNŞ</v>
      </c>
      <c r="G107" s="78">
        <f>I107-VLOOKUP($B107,Şablon!$E$3:$Q$255,5,FALSE)</f>
        <v>-70</v>
      </c>
      <c r="H107" s="55"/>
      <c r="I107" s="78">
        <f>K107-VLOOKUP($B107,Şablon!$E$3:$Q$255,6,FALSE)</f>
        <v>-70</v>
      </c>
      <c r="J107" s="55"/>
      <c r="K107" s="78">
        <f>M107-VLOOKUP($B107,Şablon!$E$3:$Q$255,7,FALSE)</f>
        <v>-56</v>
      </c>
      <c r="L107" s="55"/>
      <c r="M107" s="78">
        <f>O107-VLOOKUP($B107,Şablon!$E$3:$Q$255,8,FALSE)</f>
        <v>-49</v>
      </c>
      <c r="N107" s="55"/>
      <c r="O107" s="78">
        <f>Q107-VLOOKUP($B107,Şablon!$E$3:$Q$255,9,FALSE)</f>
        <v>-35</v>
      </c>
      <c r="P107" s="55"/>
      <c r="Q107" s="78">
        <f>S107-VLOOKUP($B107,Şablon!$E$3:$Q$255,10,FALSE)</f>
        <v>-28</v>
      </c>
      <c r="R107" s="55"/>
      <c r="S107" s="78">
        <f>U107-(VLOOKUP($B107,Şablon!$E$3:$Q$255,11,FALSE)+VLOOKUP($B107,Şablon!$E$3:$Q$255,12,FALSE))</f>
        <v>-21</v>
      </c>
      <c r="T107" s="55"/>
      <c r="U107" s="57"/>
      <c r="V107" s="55"/>
      <c r="W107" s="59"/>
      <c r="X107" s="60"/>
      <c r="Y107" s="60"/>
      <c r="Z107" s="60"/>
      <c r="AA107" s="60"/>
      <c r="AB107" s="60"/>
      <c r="AC107" s="136"/>
    </row>
    <row r="108" spans="2:29" ht="19.8" customHeight="1" x14ac:dyDescent="0.3">
      <c r="B108" s="64" t="str">
        <f>Şablon!E107</f>
        <v>IHL.3028.102/1</v>
      </c>
      <c r="C108" s="76" t="str">
        <f>VLOOKUP($B108,Şablon!$E$3:$Q$255,2,FALSE)</f>
        <v>17.06.00 (M) ŞEZLONG &amp; ŞEMSİYE İŞLERİ</v>
      </c>
      <c r="D108" s="87"/>
      <c r="E108" s="76" t="str">
        <f>VLOOKUP($B108,Şablon!$E$3:$Q$255,3,FALSE)</f>
        <v>C KATEGORİ</v>
      </c>
      <c r="F108" s="77" t="str">
        <f>VLOOKUP($B108,Şablon!$E$3:$Q$255,4,FALSE)</f>
        <v>İNŞ</v>
      </c>
      <c r="G108" s="78">
        <f>I108-VLOOKUP($B108,Şablon!$E$3:$Q$255,5,FALSE)</f>
        <v>-77</v>
      </c>
      <c r="H108" s="55"/>
      <c r="I108" s="78">
        <f>K108-VLOOKUP($B108,Şablon!$E$3:$Q$255,6,FALSE)</f>
        <v>-77</v>
      </c>
      <c r="J108" s="55"/>
      <c r="K108" s="78">
        <f>M108-VLOOKUP($B108,Şablon!$E$3:$Q$255,7,FALSE)</f>
        <v>-63</v>
      </c>
      <c r="L108" s="55"/>
      <c r="M108" s="78">
        <f>O108-VLOOKUP($B108,Şablon!$E$3:$Q$255,8,FALSE)</f>
        <v>-56</v>
      </c>
      <c r="N108" s="55"/>
      <c r="O108" s="78">
        <f>Q108-VLOOKUP($B108,Şablon!$E$3:$Q$255,9,FALSE)</f>
        <v>-42</v>
      </c>
      <c r="P108" s="55"/>
      <c r="Q108" s="78">
        <f>S108-VLOOKUP($B108,Şablon!$E$3:$Q$255,10,FALSE)</f>
        <v>-35</v>
      </c>
      <c r="R108" s="55"/>
      <c r="S108" s="78">
        <f>U108-(VLOOKUP($B108,Şablon!$E$3:$Q$255,11,FALSE)+VLOOKUP($B108,Şablon!$E$3:$Q$255,12,FALSE))</f>
        <v>-28</v>
      </c>
      <c r="T108" s="55"/>
      <c r="U108" s="57"/>
      <c r="V108" s="55"/>
      <c r="W108" s="59"/>
      <c r="X108" s="60"/>
      <c r="Y108" s="60"/>
      <c r="Z108" s="60"/>
      <c r="AA108" s="60"/>
      <c r="AB108" s="60"/>
      <c r="AC108" s="136"/>
    </row>
    <row r="109" spans="2:29" ht="19.8" customHeight="1" x14ac:dyDescent="0.3">
      <c r="B109" s="64" t="str">
        <f>Şablon!E108</f>
        <v>IHL.3028.103/1</v>
      </c>
      <c r="C109" s="76" t="str">
        <f>VLOOKUP($B109,Şablon!$E$3:$Q$255,2,FALSE)</f>
        <v>29.05.00 (M) ÇOCUK OYUN EKİPMANLARI</v>
      </c>
      <c r="D109" s="87"/>
      <c r="E109" s="76" t="str">
        <f>VLOOKUP($B109,Şablon!$E$3:$Q$255,3,FALSE)</f>
        <v>B KATEGORİ</v>
      </c>
      <c r="F109" s="77" t="str">
        <f>VLOOKUP($B109,Şablon!$E$3:$Q$255,4,FALSE)</f>
        <v>İNŞ</v>
      </c>
      <c r="G109" s="78">
        <f>I109-VLOOKUP($B109,Şablon!$E$3:$Q$255,5,FALSE)</f>
        <v>-108</v>
      </c>
      <c r="H109" s="55"/>
      <c r="I109" s="78">
        <f>K109-VLOOKUP($B109,Şablon!$E$3:$Q$255,6,FALSE)</f>
        <v>-108</v>
      </c>
      <c r="J109" s="55"/>
      <c r="K109" s="78">
        <f>M109-VLOOKUP($B109,Şablon!$E$3:$Q$255,7,FALSE)</f>
        <v>-94</v>
      </c>
      <c r="L109" s="55"/>
      <c r="M109" s="78">
        <f>O109-VLOOKUP($B109,Şablon!$E$3:$Q$255,8,FALSE)</f>
        <v>-87</v>
      </c>
      <c r="N109" s="55"/>
      <c r="O109" s="78">
        <f>Q109-VLOOKUP($B109,Şablon!$E$3:$Q$255,9,FALSE)</f>
        <v>-66</v>
      </c>
      <c r="P109" s="55"/>
      <c r="Q109" s="78">
        <f>S109-VLOOKUP($B109,Şablon!$E$3:$Q$255,10,FALSE)</f>
        <v>-59</v>
      </c>
      <c r="R109" s="55"/>
      <c r="S109" s="78">
        <f>U109-(VLOOKUP($B109,Şablon!$E$3:$Q$255,11,FALSE)+VLOOKUP($B109,Şablon!$E$3:$Q$255,12,FALSE))</f>
        <v>-52</v>
      </c>
      <c r="T109" s="55"/>
      <c r="U109" s="57"/>
      <c r="V109" s="55"/>
      <c r="W109" s="59"/>
      <c r="X109" s="60"/>
      <c r="Y109" s="60"/>
      <c r="Z109" s="60"/>
      <c r="AA109" s="60"/>
      <c r="AB109" s="60"/>
      <c r="AC109" s="136"/>
    </row>
    <row r="110" spans="2:29" ht="19.8" customHeight="1" x14ac:dyDescent="0.3">
      <c r="B110" s="64" t="str">
        <f>Şablon!E109</f>
        <v>IHL.3028.104/1</v>
      </c>
      <c r="C110" s="76" t="str">
        <f>VLOOKUP($B110,Şablon!$E$3:$Q$255,2,FALSE)</f>
        <v xml:space="preserve">25.07.00 HAREKETLİ MOBİLYA </v>
      </c>
      <c r="D110" s="87"/>
      <c r="E110" s="76" t="str">
        <f>VLOOKUP($B110,Şablon!$E$3:$Q$255,3,FALSE)</f>
        <v>B KATEGORİ</v>
      </c>
      <c r="F110" s="77" t="str">
        <f>VLOOKUP($B110,Şablon!$E$3:$Q$255,4,FALSE)</f>
        <v>İNŞ</v>
      </c>
      <c r="G110" s="78">
        <f>I110-VLOOKUP($B110,Şablon!$E$3:$Q$255,5,FALSE)</f>
        <v>-122</v>
      </c>
      <c r="H110" s="55"/>
      <c r="I110" s="78">
        <f>K110-VLOOKUP($B110,Şablon!$E$3:$Q$255,6,FALSE)</f>
        <v>-122</v>
      </c>
      <c r="J110" s="55"/>
      <c r="K110" s="78">
        <f>M110-VLOOKUP($B110,Şablon!$E$3:$Q$255,7,FALSE)</f>
        <v>-108</v>
      </c>
      <c r="L110" s="55"/>
      <c r="M110" s="78">
        <f>O110-VLOOKUP($B110,Şablon!$E$3:$Q$255,8,FALSE)</f>
        <v>-101</v>
      </c>
      <c r="N110" s="55"/>
      <c r="O110" s="78">
        <f>Q110-VLOOKUP($B110,Şablon!$E$3:$Q$255,9,FALSE)</f>
        <v>-73</v>
      </c>
      <c r="P110" s="55"/>
      <c r="Q110" s="78">
        <f>S110-VLOOKUP($B110,Şablon!$E$3:$Q$255,10,FALSE)</f>
        <v>-66</v>
      </c>
      <c r="R110" s="55"/>
      <c r="S110" s="78">
        <f>U110-(VLOOKUP($B110,Şablon!$E$3:$Q$255,11,FALSE)+VLOOKUP($B110,Şablon!$E$3:$Q$255,12,FALSE))</f>
        <v>-52</v>
      </c>
      <c r="T110" s="55"/>
      <c r="U110" s="57"/>
      <c r="V110" s="55"/>
      <c r="W110" s="59"/>
      <c r="X110" s="60"/>
      <c r="Y110" s="60"/>
      <c r="Z110" s="60"/>
      <c r="AA110" s="60"/>
      <c r="AB110" s="60"/>
      <c r="AC110" s="136"/>
    </row>
    <row r="111" spans="2:29" ht="19.8" customHeight="1" x14ac:dyDescent="0.3">
      <c r="B111" s="64" t="str">
        <f>Şablon!E110</f>
        <v>IHL.3028.105/1</v>
      </c>
      <c r="C111" s="76" t="str">
        <f>VLOOKUP($B111,Şablon!$E$3:$Q$255,2,FALSE)</f>
        <v>29.05.01 (M) KENT EKİPMANLARI</v>
      </c>
      <c r="D111" s="87"/>
      <c r="E111" s="76" t="str">
        <f>VLOOKUP($B111,Şablon!$E$3:$Q$255,3,FALSE)</f>
        <v>C KATEGORİ</v>
      </c>
      <c r="F111" s="77" t="str">
        <f>VLOOKUP($B111,Şablon!$E$3:$Q$255,4,FALSE)</f>
        <v>İNŞ</v>
      </c>
      <c r="G111" s="78">
        <f>I111-VLOOKUP($B111,Şablon!$E$3:$Q$255,5,FALSE)</f>
        <v>-84</v>
      </c>
      <c r="H111" s="55"/>
      <c r="I111" s="78">
        <f>K111-VLOOKUP($B111,Şablon!$E$3:$Q$255,6,FALSE)</f>
        <v>-84</v>
      </c>
      <c r="J111" s="55"/>
      <c r="K111" s="78">
        <f>M111-VLOOKUP($B111,Şablon!$E$3:$Q$255,7,FALSE)</f>
        <v>-70</v>
      </c>
      <c r="L111" s="55"/>
      <c r="M111" s="78">
        <f>O111-VLOOKUP($B111,Şablon!$E$3:$Q$255,8,FALSE)</f>
        <v>-63</v>
      </c>
      <c r="N111" s="55"/>
      <c r="O111" s="78">
        <f>Q111-VLOOKUP($B111,Şablon!$E$3:$Q$255,9,FALSE)</f>
        <v>-49</v>
      </c>
      <c r="P111" s="55"/>
      <c r="Q111" s="78">
        <f>S111-VLOOKUP($B111,Şablon!$E$3:$Q$255,10,FALSE)</f>
        <v>-42</v>
      </c>
      <c r="R111" s="55"/>
      <c r="S111" s="78">
        <f>U111-(VLOOKUP($B111,Şablon!$E$3:$Q$255,11,FALSE)+VLOOKUP($B111,Şablon!$E$3:$Q$255,12,FALSE))</f>
        <v>-35</v>
      </c>
      <c r="T111" s="55"/>
      <c r="U111" s="57"/>
      <c r="V111" s="55"/>
      <c r="W111" s="59"/>
      <c r="X111" s="60"/>
      <c r="Y111" s="60"/>
      <c r="Z111" s="60"/>
      <c r="AA111" s="60"/>
      <c r="AB111" s="60"/>
      <c r="AC111" s="136"/>
    </row>
    <row r="112" spans="2:29" ht="19.8" customHeight="1" x14ac:dyDescent="0.3">
      <c r="B112" s="64" t="str">
        <f>Şablon!E111</f>
        <v>IHL.3028.106/1</v>
      </c>
      <c r="C112" s="76" t="str">
        <f>VLOOKUP($B112,Şablon!$E$3:$Q$255,2,FALSE)</f>
        <v>15.16.00 DAİRE İÇİ TEMİZLİK</v>
      </c>
      <c r="D112" s="87"/>
      <c r="E112" s="76" t="str">
        <f>VLOOKUP($B112,Şablon!$E$3:$Q$255,3,FALSE)</f>
        <v>B KATEGORİ</v>
      </c>
      <c r="F112" s="77" t="str">
        <f>VLOOKUP($B112,Şablon!$E$3:$Q$255,4,FALSE)</f>
        <v>İNŞ</v>
      </c>
      <c r="G112" s="78">
        <f>I112-VLOOKUP($B112,Şablon!$E$3:$Q$255,5,FALSE)</f>
        <v>-56</v>
      </c>
      <c r="H112" s="55"/>
      <c r="I112" s="78">
        <f>K112-VLOOKUP($B112,Şablon!$E$3:$Q$255,6,FALSE)</f>
        <v>-56</v>
      </c>
      <c r="J112" s="55"/>
      <c r="K112" s="78">
        <f>M112-VLOOKUP($B112,Şablon!$E$3:$Q$255,7,FALSE)</f>
        <v>-42</v>
      </c>
      <c r="L112" s="55"/>
      <c r="M112" s="78">
        <f>O112-VLOOKUP($B112,Şablon!$E$3:$Q$255,8,FALSE)</f>
        <v>-35</v>
      </c>
      <c r="N112" s="55"/>
      <c r="O112" s="78">
        <f>Q112-VLOOKUP($B112,Şablon!$E$3:$Q$255,9,FALSE)</f>
        <v>-21</v>
      </c>
      <c r="P112" s="55"/>
      <c r="Q112" s="78">
        <f>S112-VLOOKUP($B112,Şablon!$E$3:$Q$255,10,FALSE)</f>
        <v>-14</v>
      </c>
      <c r="R112" s="55"/>
      <c r="S112" s="78">
        <f>U112-(VLOOKUP($B112,Şablon!$E$3:$Q$255,11,FALSE)+VLOOKUP($B112,Şablon!$E$3:$Q$255,12,FALSE))</f>
        <v>-7</v>
      </c>
      <c r="T112" s="55"/>
      <c r="U112" s="57"/>
      <c r="V112" s="55"/>
      <c r="W112" s="59"/>
      <c r="X112" s="60"/>
      <c r="Y112" s="60"/>
      <c r="Z112" s="60"/>
      <c r="AA112" s="60"/>
      <c r="AB112" s="60"/>
      <c r="AC112" s="136"/>
    </row>
    <row r="113" spans="2:29" ht="19.8" customHeight="1" x14ac:dyDescent="0.3">
      <c r="B113" s="64" t="str">
        <f>Şablon!E112</f>
        <v>IHL.3028.107/1</v>
      </c>
      <c r="C113" s="76" t="str">
        <f>VLOOKUP($B113,Şablon!$E$3:$Q$255,2,FALSE)</f>
        <v>15.15.00 BİNA YÖNLENDİRME</v>
      </c>
      <c r="D113" s="87"/>
      <c r="E113" s="76" t="str">
        <f>VLOOKUP($B113,Şablon!$E$3:$Q$255,3,FALSE)</f>
        <v>B KATEGORİ</v>
      </c>
      <c r="F113" s="77" t="str">
        <f>VLOOKUP($B113,Şablon!$E$3:$Q$255,4,FALSE)</f>
        <v>İNŞ</v>
      </c>
      <c r="G113" s="78">
        <f>I113-VLOOKUP($B113,Şablon!$E$3:$Q$255,5,FALSE)</f>
        <v>-77</v>
      </c>
      <c r="H113" s="55"/>
      <c r="I113" s="78">
        <f>K113-VLOOKUP($B113,Şablon!$E$3:$Q$255,6,FALSE)</f>
        <v>-77</v>
      </c>
      <c r="J113" s="55"/>
      <c r="K113" s="78">
        <f>M113-VLOOKUP($B113,Şablon!$E$3:$Q$255,7,FALSE)</f>
        <v>-63</v>
      </c>
      <c r="L113" s="55"/>
      <c r="M113" s="78">
        <f>O113-VLOOKUP($B113,Şablon!$E$3:$Q$255,8,FALSE)</f>
        <v>-56</v>
      </c>
      <c r="N113" s="55"/>
      <c r="O113" s="78">
        <f>Q113-VLOOKUP($B113,Şablon!$E$3:$Q$255,9,FALSE)</f>
        <v>-42</v>
      </c>
      <c r="P113" s="55"/>
      <c r="Q113" s="78">
        <f>S113-VLOOKUP($B113,Şablon!$E$3:$Q$255,10,FALSE)</f>
        <v>-35</v>
      </c>
      <c r="R113" s="55"/>
      <c r="S113" s="78">
        <f>U113-(VLOOKUP($B113,Şablon!$E$3:$Q$255,11,FALSE)+VLOOKUP($B113,Şablon!$E$3:$Q$255,12,FALSE))</f>
        <v>-28</v>
      </c>
      <c r="T113" s="55"/>
      <c r="U113" s="57"/>
      <c r="V113" s="55"/>
      <c r="W113" s="59"/>
      <c r="X113" s="60"/>
      <c r="Y113" s="60"/>
      <c r="Z113" s="60"/>
      <c r="AA113" s="60"/>
      <c r="AB113" s="60"/>
      <c r="AC113" s="136"/>
    </row>
    <row r="114" spans="2:29" ht="19.8" customHeight="1" x14ac:dyDescent="0.3">
      <c r="B114" s="64" t="str">
        <f>Şablon!E113</f>
        <v>IHL.3028.108/1</v>
      </c>
      <c r="C114" s="76" t="str">
        <f>VLOOKUP($B114,Şablon!$E$3:$Q$255,2,FALSE)</f>
        <v>17.02.00 GÜVENLİK KULÜBESİ İŞLERİ</v>
      </c>
      <c r="D114" s="87"/>
      <c r="E114" s="76" t="str">
        <f>VLOOKUP($B114,Şablon!$E$3:$Q$255,3,FALSE)</f>
        <v>C KATEGORİ</v>
      </c>
      <c r="F114" s="77" t="str">
        <f>VLOOKUP($B114,Şablon!$E$3:$Q$255,4,FALSE)</f>
        <v>İNŞ</v>
      </c>
      <c r="G114" s="78">
        <f>I114-VLOOKUP($B114,Şablon!$E$3:$Q$255,5,FALSE)</f>
        <v>-105</v>
      </c>
      <c r="H114" s="55"/>
      <c r="I114" s="78">
        <f>K114-VLOOKUP($B114,Şablon!$E$3:$Q$255,6,FALSE)</f>
        <v>-105</v>
      </c>
      <c r="J114" s="55"/>
      <c r="K114" s="78">
        <f>M114-VLOOKUP($B114,Şablon!$E$3:$Q$255,7,FALSE)</f>
        <v>-91</v>
      </c>
      <c r="L114" s="55"/>
      <c r="M114" s="78">
        <f>O114-VLOOKUP($B114,Şablon!$E$3:$Q$255,8,FALSE)</f>
        <v>-84</v>
      </c>
      <c r="N114" s="55"/>
      <c r="O114" s="78">
        <f>Q114-VLOOKUP($B114,Şablon!$E$3:$Q$255,9,FALSE)</f>
        <v>-63</v>
      </c>
      <c r="P114" s="55"/>
      <c r="Q114" s="78">
        <f>S114-VLOOKUP($B114,Şablon!$E$3:$Q$255,10,FALSE)</f>
        <v>-56</v>
      </c>
      <c r="R114" s="55"/>
      <c r="S114" s="78">
        <f>U114-(VLOOKUP($B114,Şablon!$E$3:$Q$255,11,FALSE)+VLOOKUP($B114,Şablon!$E$3:$Q$255,12,FALSE))</f>
        <v>-42</v>
      </c>
      <c r="T114" s="55"/>
      <c r="U114" s="57"/>
      <c r="V114" s="55"/>
      <c r="W114" s="59"/>
      <c r="X114" s="60"/>
      <c r="Y114" s="60"/>
      <c r="Z114" s="60"/>
      <c r="AA114" s="60"/>
      <c r="AB114" s="60"/>
      <c r="AC114" s="136"/>
    </row>
    <row r="115" spans="2:29" ht="19.8" customHeight="1" x14ac:dyDescent="0.3">
      <c r="B115" s="64" t="str">
        <f>Şablon!E114</f>
        <v>IHL.3028.109/1</v>
      </c>
      <c r="C115" s="76" t="str">
        <f>VLOOKUP($B115,Şablon!$E$3:$Q$255,2,FALSE)</f>
        <v>29.06.00 PANEL ÇİT İŞLERİ</v>
      </c>
      <c r="D115" s="87"/>
      <c r="E115" s="76" t="str">
        <f>VLOOKUP($B115,Şablon!$E$3:$Q$255,3,FALSE)</f>
        <v>C KATEGORİ</v>
      </c>
      <c r="F115" s="77" t="str">
        <f>VLOOKUP($B115,Şablon!$E$3:$Q$255,4,FALSE)</f>
        <v>İNŞ</v>
      </c>
      <c r="G115" s="78">
        <f>I115-VLOOKUP($B115,Şablon!$E$3:$Q$255,5,FALSE)</f>
        <v>-84</v>
      </c>
      <c r="H115" s="55"/>
      <c r="I115" s="78">
        <f>K115-VLOOKUP($B115,Şablon!$E$3:$Q$255,6,FALSE)</f>
        <v>-84</v>
      </c>
      <c r="J115" s="55"/>
      <c r="K115" s="78">
        <f>M115-VLOOKUP($B115,Şablon!$E$3:$Q$255,7,FALSE)</f>
        <v>-70</v>
      </c>
      <c r="L115" s="55"/>
      <c r="M115" s="78">
        <f>O115-VLOOKUP($B115,Şablon!$E$3:$Q$255,8,FALSE)</f>
        <v>-63</v>
      </c>
      <c r="N115" s="55"/>
      <c r="O115" s="78">
        <f>Q115-VLOOKUP($B115,Şablon!$E$3:$Q$255,9,FALSE)</f>
        <v>-49</v>
      </c>
      <c r="P115" s="55"/>
      <c r="Q115" s="78">
        <f>S115-VLOOKUP($B115,Şablon!$E$3:$Q$255,10,FALSE)</f>
        <v>-42</v>
      </c>
      <c r="R115" s="55"/>
      <c r="S115" s="78">
        <f>U115-(VLOOKUP($B115,Şablon!$E$3:$Q$255,11,FALSE)+VLOOKUP($B115,Şablon!$E$3:$Q$255,12,FALSE))</f>
        <v>-28</v>
      </c>
      <c r="T115" s="55"/>
      <c r="U115" s="57"/>
      <c r="V115" s="55"/>
      <c r="W115" s="59"/>
      <c r="X115" s="60"/>
      <c r="Y115" s="60"/>
      <c r="Z115" s="60"/>
      <c r="AA115" s="60"/>
      <c r="AB115" s="60"/>
      <c r="AC115" s="136"/>
    </row>
    <row r="116" spans="2:29" ht="19.8" customHeight="1" x14ac:dyDescent="0.3">
      <c r="B116" s="64" t="str">
        <f>Şablon!E115</f>
        <v>IHL.3028.110/1</v>
      </c>
      <c r="C116" s="76" t="str">
        <f>VLOOKUP($B116,Şablon!$E$3:$Q$255,2,FALSE)</f>
        <v>25.08.00 PERDE İŞLERİ</v>
      </c>
      <c r="D116" s="87"/>
      <c r="E116" s="76" t="str">
        <f>VLOOKUP($B116,Şablon!$E$3:$Q$255,3,FALSE)</f>
        <v>C KATEGORİ</v>
      </c>
      <c r="F116" s="77" t="str">
        <f>VLOOKUP($B116,Şablon!$E$3:$Q$255,4,FALSE)</f>
        <v>İNŞ</v>
      </c>
      <c r="G116" s="78">
        <f>I116-VLOOKUP($B116,Şablon!$E$3:$Q$255,5,FALSE)</f>
        <v>-77</v>
      </c>
      <c r="H116" s="55"/>
      <c r="I116" s="78">
        <f>K116-VLOOKUP($B116,Şablon!$E$3:$Q$255,6,FALSE)</f>
        <v>-77</v>
      </c>
      <c r="J116" s="55"/>
      <c r="K116" s="78">
        <f>M116-VLOOKUP($B116,Şablon!$E$3:$Q$255,7,FALSE)</f>
        <v>-63</v>
      </c>
      <c r="L116" s="55"/>
      <c r="M116" s="78">
        <f>O116-VLOOKUP($B116,Şablon!$E$3:$Q$255,8,FALSE)</f>
        <v>-56</v>
      </c>
      <c r="N116" s="55"/>
      <c r="O116" s="78">
        <f>Q116-VLOOKUP($B116,Şablon!$E$3:$Q$255,9,FALSE)</f>
        <v>-42</v>
      </c>
      <c r="P116" s="55"/>
      <c r="Q116" s="78">
        <f>S116-VLOOKUP($B116,Şablon!$E$3:$Q$255,10,FALSE)</f>
        <v>-35</v>
      </c>
      <c r="R116" s="55"/>
      <c r="S116" s="78">
        <f>U116-(VLOOKUP($B116,Şablon!$E$3:$Q$255,11,FALSE)+VLOOKUP($B116,Şablon!$E$3:$Q$255,12,FALSE))</f>
        <v>-28</v>
      </c>
      <c r="T116" s="55"/>
      <c r="U116" s="57"/>
      <c r="V116" s="55"/>
      <c r="W116" s="59"/>
      <c r="X116" s="60"/>
      <c r="Y116" s="60"/>
      <c r="Z116" s="60"/>
      <c r="AA116" s="60"/>
      <c r="AB116" s="60"/>
      <c r="AC116" s="136"/>
    </row>
    <row r="117" spans="2:29" ht="19.8" customHeight="1" x14ac:dyDescent="0.3">
      <c r="B117" s="64" t="str">
        <f>Şablon!E116</f>
        <v>IHL.3028.111/1</v>
      </c>
      <c r="C117" s="76" t="str">
        <f>VLOOKUP($B117,Şablon!$E$3:$Q$255,2,FALSE)</f>
        <v>17.08.00 OTOPARK SİLİM İŞLERİ</v>
      </c>
      <c r="D117" s="87"/>
      <c r="E117" s="76" t="str">
        <f>VLOOKUP($B117,Şablon!$E$3:$Q$255,3,FALSE)</f>
        <v>C KATEGORİ</v>
      </c>
      <c r="F117" s="77" t="str">
        <f>VLOOKUP($B117,Şablon!$E$3:$Q$255,4,FALSE)</f>
        <v>İNŞ</v>
      </c>
      <c r="G117" s="78">
        <f>I117-VLOOKUP($B117,Şablon!$E$3:$Q$255,5,FALSE)</f>
        <v>-56</v>
      </c>
      <c r="H117" s="55"/>
      <c r="I117" s="78">
        <f>K117-VLOOKUP($B117,Şablon!$E$3:$Q$255,6,FALSE)</f>
        <v>-56</v>
      </c>
      <c r="J117" s="55"/>
      <c r="K117" s="78">
        <f>M117-VLOOKUP($B117,Şablon!$E$3:$Q$255,7,FALSE)</f>
        <v>-42</v>
      </c>
      <c r="L117" s="55"/>
      <c r="M117" s="78">
        <f>O117-VLOOKUP($B117,Şablon!$E$3:$Q$255,8,FALSE)</f>
        <v>-35</v>
      </c>
      <c r="N117" s="55"/>
      <c r="O117" s="78">
        <f>Q117-VLOOKUP($B117,Şablon!$E$3:$Q$255,9,FALSE)</f>
        <v>-21</v>
      </c>
      <c r="P117" s="55"/>
      <c r="Q117" s="78">
        <f>S117-VLOOKUP($B117,Şablon!$E$3:$Q$255,10,FALSE)</f>
        <v>-14</v>
      </c>
      <c r="R117" s="55"/>
      <c r="S117" s="78">
        <f>U117-(VLOOKUP($B117,Şablon!$E$3:$Q$255,11,FALSE)+VLOOKUP($B117,Şablon!$E$3:$Q$255,12,FALSE))</f>
        <v>-7</v>
      </c>
      <c r="T117" s="55"/>
      <c r="U117" s="57"/>
      <c r="V117" s="55"/>
      <c r="W117" s="59"/>
      <c r="X117" s="60"/>
      <c r="Y117" s="60"/>
      <c r="Z117" s="60"/>
      <c r="AA117" s="60"/>
      <c r="AB117" s="60"/>
      <c r="AC117" s="136"/>
    </row>
    <row r="118" spans="2:29" ht="19.8" customHeight="1" x14ac:dyDescent="0.3">
      <c r="B118" s="64" t="str">
        <f>Şablon!E117</f>
        <v>IHL.3028.112/1</v>
      </c>
      <c r="C118" s="76" t="str">
        <f>VLOOKUP($B118,Şablon!$E$3:$Q$255,2,FALSE)</f>
        <v>15.16.01 CEPHE TEMİZLİK İŞLERİ</v>
      </c>
      <c r="D118" s="87"/>
      <c r="E118" s="76" t="str">
        <f>VLOOKUP($B118,Şablon!$E$3:$Q$255,3,FALSE)</f>
        <v>B KATEGORİ</v>
      </c>
      <c r="F118" s="77" t="str">
        <f>VLOOKUP($B118,Şablon!$E$3:$Q$255,4,FALSE)</f>
        <v>İNŞ</v>
      </c>
      <c r="G118" s="78">
        <f>I118-VLOOKUP($B118,Şablon!$E$3:$Q$255,5,FALSE)</f>
        <v>-56</v>
      </c>
      <c r="H118" s="55"/>
      <c r="I118" s="78">
        <f>K118-VLOOKUP($B118,Şablon!$E$3:$Q$255,6,FALSE)</f>
        <v>-56</v>
      </c>
      <c r="J118" s="55"/>
      <c r="K118" s="78">
        <f>M118-VLOOKUP($B118,Şablon!$E$3:$Q$255,7,FALSE)</f>
        <v>-42</v>
      </c>
      <c r="L118" s="55"/>
      <c r="M118" s="78">
        <f>O118-VLOOKUP($B118,Şablon!$E$3:$Q$255,8,FALSE)</f>
        <v>-35</v>
      </c>
      <c r="N118" s="55"/>
      <c r="O118" s="78">
        <f>Q118-VLOOKUP($B118,Şablon!$E$3:$Q$255,9,FALSE)</f>
        <v>-21</v>
      </c>
      <c r="P118" s="55"/>
      <c r="Q118" s="78">
        <f>S118-VLOOKUP($B118,Şablon!$E$3:$Q$255,10,FALSE)</f>
        <v>-14</v>
      </c>
      <c r="R118" s="55"/>
      <c r="S118" s="78">
        <f>U118-(VLOOKUP($B118,Şablon!$E$3:$Q$255,11,FALSE)+VLOOKUP($B118,Şablon!$E$3:$Q$255,12,FALSE))</f>
        <v>-7</v>
      </c>
      <c r="T118" s="55"/>
      <c r="U118" s="57"/>
      <c r="V118" s="55"/>
      <c r="W118" s="59"/>
      <c r="X118" s="60"/>
      <c r="Y118" s="60"/>
      <c r="Z118" s="60"/>
      <c r="AA118" s="60"/>
      <c r="AB118" s="60"/>
      <c r="AC118" s="136"/>
    </row>
    <row r="119" spans="2:29" ht="19.8" customHeight="1" x14ac:dyDescent="0.3">
      <c r="B119" s="64" t="str">
        <f>Şablon!E118</f>
        <v>IHL.3028.113/1</v>
      </c>
      <c r="C119" s="76" t="str">
        <f>VLOOKUP($B119,Şablon!$E$3:$Q$255,2,FALSE)</f>
        <v>27.01.00 ASFALT İŞLERİ</v>
      </c>
      <c r="D119" s="87"/>
      <c r="E119" s="76" t="str">
        <f>VLOOKUP($B119,Şablon!$E$3:$Q$255,3,FALSE)</f>
        <v>B KATEGORİ</v>
      </c>
      <c r="F119" s="77" t="str">
        <f>VLOOKUP($B119,Şablon!$E$3:$Q$255,4,FALSE)</f>
        <v>İNŞ</v>
      </c>
      <c r="G119" s="78">
        <f>I119-VLOOKUP($B119,Şablon!$E$3:$Q$255,5,FALSE)</f>
        <v>-63</v>
      </c>
      <c r="H119" s="55"/>
      <c r="I119" s="78">
        <f>K119-VLOOKUP($B119,Şablon!$E$3:$Q$255,6,FALSE)</f>
        <v>-63</v>
      </c>
      <c r="J119" s="55"/>
      <c r="K119" s="78">
        <f>M119-VLOOKUP($B119,Şablon!$E$3:$Q$255,7,FALSE)</f>
        <v>-49</v>
      </c>
      <c r="L119" s="55"/>
      <c r="M119" s="78">
        <f>O119-VLOOKUP($B119,Şablon!$E$3:$Q$255,8,FALSE)</f>
        <v>-42</v>
      </c>
      <c r="N119" s="55"/>
      <c r="O119" s="78">
        <f>Q119-VLOOKUP($B119,Şablon!$E$3:$Q$255,9,FALSE)</f>
        <v>-28</v>
      </c>
      <c r="P119" s="55"/>
      <c r="Q119" s="78">
        <f>S119-VLOOKUP($B119,Şablon!$E$3:$Q$255,10,FALSE)</f>
        <v>-21</v>
      </c>
      <c r="R119" s="55"/>
      <c r="S119" s="78">
        <f>U119-(VLOOKUP($B119,Şablon!$E$3:$Q$255,11,FALSE)+VLOOKUP($B119,Şablon!$E$3:$Q$255,12,FALSE))</f>
        <v>-14</v>
      </c>
      <c r="T119" s="55"/>
      <c r="U119" s="57"/>
      <c r="V119" s="55"/>
      <c r="W119" s="59"/>
      <c r="X119" s="60"/>
      <c r="Y119" s="60"/>
      <c r="Z119" s="60"/>
      <c r="AA119" s="60"/>
      <c r="AB119" s="60"/>
      <c r="AC119" s="136"/>
    </row>
    <row r="120" spans="2:29" ht="19.8" customHeight="1" x14ac:dyDescent="0.3">
      <c r="B120" s="64" t="str">
        <f>Şablon!E119</f>
        <v>IHL.3028.114/1</v>
      </c>
      <c r="C120" s="76" t="str">
        <f>VLOOKUP($B120,Şablon!$E$3:$Q$255,2,FALSE)</f>
        <v>31.00.00 MEKANİK TESİSAT İŞLERİ</v>
      </c>
      <c r="D120" s="87"/>
      <c r="E120" s="76" t="str">
        <f>VLOOKUP($B120,Şablon!$E$3:$Q$255,3,FALSE)</f>
        <v>A KATEGORİ</v>
      </c>
      <c r="F120" s="77" t="str">
        <f>VLOOKUP($B120,Şablon!$E$3:$Q$255,4,FALSE)</f>
        <v>MEK</v>
      </c>
      <c r="G120" s="78">
        <f>I120-VLOOKUP($B120,Şablon!$E$3:$Q$255,5,FALSE)</f>
        <v>-112</v>
      </c>
      <c r="H120" s="55"/>
      <c r="I120" s="78">
        <f>K120-VLOOKUP($B120,Şablon!$E$3:$Q$255,6,FALSE)</f>
        <v>-112</v>
      </c>
      <c r="J120" s="55"/>
      <c r="K120" s="78">
        <f>M120-VLOOKUP($B120,Şablon!$E$3:$Q$255,7,FALSE)</f>
        <v>-91</v>
      </c>
      <c r="L120" s="55"/>
      <c r="M120" s="78">
        <f>O120-VLOOKUP($B120,Şablon!$E$3:$Q$255,8,FALSE)</f>
        <v>-63</v>
      </c>
      <c r="N120" s="55"/>
      <c r="O120" s="78">
        <f>Q120-VLOOKUP($B120,Şablon!$E$3:$Q$255,9,FALSE)</f>
        <v>-42</v>
      </c>
      <c r="P120" s="55"/>
      <c r="Q120" s="78">
        <f>S120-VLOOKUP($B120,Şablon!$E$3:$Q$255,10,FALSE)</f>
        <v>-28</v>
      </c>
      <c r="R120" s="55"/>
      <c r="S120" s="78">
        <f>U120-(VLOOKUP($B120,Şablon!$E$3:$Q$255,11,FALSE)+VLOOKUP($B120,Şablon!$E$3:$Q$255,12,FALSE))</f>
        <v>-14</v>
      </c>
      <c r="T120" s="55"/>
      <c r="U120" s="57"/>
      <c r="V120" s="55"/>
      <c r="W120" s="59"/>
      <c r="X120" s="60"/>
      <c r="Y120" s="60"/>
      <c r="Z120" s="60"/>
      <c r="AA120" s="60"/>
      <c r="AB120" s="60"/>
      <c r="AC120" s="136"/>
    </row>
    <row r="121" spans="2:29" ht="19.8" customHeight="1" x14ac:dyDescent="0.3">
      <c r="B121" s="64" t="str">
        <f>Şablon!E120</f>
        <v>IHL.3028.115/1</v>
      </c>
      <c r="C121" s="76" t="str">
        <f>VLOOKUP($B121,Şablon!$E$3:$Q$255,2,FALSE)</f>
        <v>31.01.00 TEMEL PVC İŞLERİ</v>
      </c>
      <c r="D121" s="87"/>
      <c r="E121" s="76" t="str">
        <f>VLOOKUP($B121,Şablon!$E$3:$Q$255,3,FALSE)</f>
        <v>B KATEGORİ</v>
      </c>
      <c r="F121" s="77" t="str">
        <f>VLOOKUP($B121,Şablon!$E$3:$Q$255,4,FALSE)</f>
        <v>MEK</v>
      </c>
      <c r="G121" s="78">
        <f>I121-VLOOKUP($B121,Şablon!$E$3:$Q$255,5,FALSE)</f>
        <v>-63</v>
      </c>
      <c r="H121" s="55"/>
      <c r="I121" s="78">
        <f>K121-VLOOKUP($B121,Şablon!$E$3:$Q$255,6,FALSE)</f>
        <v>-63</v>
      </c>
      <c r="J121" s="55"/>
      <c r="K121" s="78">
        <f>M121-VLOOKUP($B121,Şablon!$E$3:$Q$255,7,FALSE)</f>
        <v>-49</v>
      </c>
      <c r="L121" s="55"/>
      <c r="M121" s="78">
        <f>O121-VLOOKUP($B121,Şablon!$E$3:$Q$255,8,FALSE)</f>
        <v>-42</v>
      </c>
      <c r="N121" s="55"/>
      <c r="O121" s="78">
        <f>Q121-VLOOKUP($B121,Şablon!$E$3:$Q$255,9,FALSE)</f>
        <v>-28</v>
      </c>
      <c r="P121" s="55"/>
      <c r="Q121" s="78">
        <f>S121-VLOOKUP($B121,Şablon!$E$3:$Q$255,10,FALSE)</f>
        <v>-21</v>
      </c>
      <c r="R121" s="55"/>
      <c r="S121" s="78">
        <f>U121-(VLOOKUP($B121,Şablon!$E$3:$Q$255,11,FALSE)+VLOOKUP($B121,Şablon!$E$3:$Q$255,12,FALSE))</f>
        <v>-14</v>
      </c>
      <c r="T121" s="55"/>
      <c r="U121" s="57"/>
      <c r="V121" s="55"/>
      <c r="W121" s="59"/>
      <c r="X121" s="60"/>
      <c r="Y121" s="60"/>
      <c r="Z121" s="60"/>
      <c r="AA121" s="60"/>
      <c r="AB121" s="60"/>
      <c r="AC121" s="136"/>
    </row>
    <row r="122" spans="2:29" ht="19.8" customHeight="1" x14ac:dyDescent="0.3">
      <c r="B122" s="64" t="str">
        <f>Şablon!E121</f>
        <v>IHL.3028.116/1</v>
      </c>
      <c r="C122" s="76" t="str">
        <f>VLOOKUP($B122,Şablon!$E$3:$Q$255,2,FALSE)</f>
        <v>31.01.01 (M) HİDROFOR</v>
      </c>
      <c r="D122" s="87"/>
      <c r="E122" s="76" t="str">
        <f>VLOOKUP($B122,Şablon!$E$3:$Q$255,3,FALSE)</f>
        <v>B KATEGORİ</v>
      </c>
      <c r="F122" s="77" t="str">
        <f>VLOOKUP($B122,Şablon!$E$3:$Q$255,4,FALSE)</f>
        <v>MEK</v>
      </c>
      <c r="G122" s="78">
        <f>I122-VLOOKUP($B122,Şablon!$E$3:$Q$255,5,FALSE)</f>
        <v>-91</v>
      </c>
      <c r="H122" s="55"/>
      <c r="I122" s="78">
        <f>K122-VLOOKUP($B122,Şablon!$E$3:$Q$255,6,FALSE)</f>
        <v>-91</v>
      </c>
      <c r="J122" s="55"/>
      <c r="K122" s="78">
        <f>M122-VLOOKUP($B122,Şablon!$E$3:$Q$255,7,FALSE)</f>
        <v>-77</v>
      </c>
      <c r="L122" s="55"/>
      <c r="M122" s="78">
        <f>O122-VLOOKUP($B122,Şablon!$E$3:$Q$255,8,FALSE)</f>
        <v>-70</v>
      </c>
      <c r="N122" s="55"/>
      <c r="O122" s="78">
        <f>Q122-VLOOKUP($B122,Şablon!$E$3:$Q$255,9,FALSE)</f>
        <v>-56</v>
      </c>
      <c r="P122" s="55"/>
      <c r="Q122" s="78">
        <f>S122-VLOOKUP($B122,Şablon!$E$3:$Q$255,10,FALSE)</f>
        <v>-49</v>
      </c>
      <c r="R122" s="55"/>
      <c r="S122" s="78">
        <f>U122-(VLOOKUP($B122,Şablon!$E$3:$Q$255,11,FALSE)+VLOOKUP($B122,Şablon!$E$3:$Q$255,12,FALSE))</f>
        <v>-42</v>
      </c>
      <c r="T122" s="55"/>
      <c r="U122" s="57"/>
      <c r="V122" s="55"/>
      <c r="W122" s="59"/>
      <c r="X122" s="60"/>
      <c r="Y122" s="60"/>
      <c r="Z122" s="60"/>
      <c r="AA122" s="60"/>
      <c r="AB122" s="60"/>
      <c r="AC122" s="136"/>
    </row>
    <row r="123" spans="2:29" ht="19.8" customHeight="1" x14ac:dyDescent="0.3">
      <c r="B123" s="64" t="str">
        <f>Şablon!E122</f>
        <v>IHL.3028.117/1</v>
      </c>
      <c r="C123" s="76" t="str">
        <f>VLOOKUP($B123,Şablon!$E$3:$Q$255,2,FALSE)</f>
        <v>31.01.02 (M) SAYAÇ (KALORİMETRE VE SU SAYACI)</v>
      </c>
      <c r="D123" s="87"/>
      <c r="E123" s="76" t="str">
        <f>VLOOKUP($B123,Şablon!$E$3:$Q$255,3,FALSE)</f>
        <v>B KATEGORİ</v>
      </c>
      <c r="F123" s="77" t="str">
        <f>VLOOKUP($B123,Şablon!$E$3:$Q$255,4,FALSE)</f>
        <v>MEK</v>
      </c>
      <c r="G123" s="78">
        <f>I123-VLOOKUP($B123,Şablon!$E$3:$Q$255,5,FALSE)</f>
        <v>-77</v>
      </c>
      <c r="H123" s="55"/>
      <c r="I123" s="78">
        <f>K123-VLOOKUP($B123,Şablon!$E$3:$Q$255,6,FALSE)</f>
        <v>-77</v>
      </c>
      <c r="J123" s="55"/>
      <c r="K123" s="78">
        <f>M123-VLOOKUP($B123,Şablon!$E$3:$Q$255,7,FALSE)</f>
        <v>-63</v>
      </c>
      <c r="L123" s="55"/>
      <c r="M123" s="78">
        <f>O123-VLOOKUP($B123,Şablon!$E$3:$Q$255,8,FALSE)</f>
        <v>-56</v>
      </c>
      <c r="N123" s="55"/>
      <c r="O123" s="78">
        <f>Q123-VLOOKUP($B123,Şablon!$E$3:$Q$255,9,FALSE)</f>
        <v>-42</v>
      </c>
      <c r="P123" s="55"/>
      <c r="Q123" s="78">
        <f>S123-VLOOKUP($B123,Şablon!$E$3:$Q$255,10,FALSE)</f>
        <v>-35</v>
      </c>
      <c r="R123" s="55"/>
      <c r="S123" s="78">
        <f>U123-(VLOOKUP($B123,Şablon!$E$3:$Q$255,11,FALSE)+VLOOKUP($B123,Şablon!$E$3:$Q$255,12,FALSE))</f>
        <v>-28</v>
      </c>
      <c r="T123" s="55"/>
      <c r="U123" s="57"/>
      <c r="V123" s="55"/>
      <c r="W123" s="59"/>
      <c r="X123" s="60"/>
      <c r="Y123" s="60"/>
      <c r="Z123" s="60"/>
      <c r="AA123" s="60"/>
      <c r="AB123" s="60"/>
      <c r="AC123" s="136"/>
    </row>
    <row r="124" spans="2:29" ht="19.8" customHeight="1" x14ac:dyDescent="0.3">
      <c r="B124" s="64" t="str">
        <f>Şablon!E123</f>
        <v>IHL.3028.118/1</v>
      </c>
      <c r="C124" s="76" t="str">
        <f>VLOOKUP($B124,Şablon!$E$3:$Q$255,2,FALSE)</f>
        <v>31.02.00 BAKIR BORULAMA VE MONTAJ İŞLERİ</v>
      </c>
      <c r="D124" s="87"/>
      <c r="E124" s="76" t="str">
        <f>VLOOKUP($B124,Şablon!$E$3:$Q$255,3,FALSE)</f>
        <v>A KATEGORİ</v>
      </c>
      <c r="F124" s="77" t="str">
        <f>VLOOKUP($B124,Şablon!$E$3:$Q$255,4,FALSE)</f>
        <v>MEK</v>
      </c>
      <c r="G124" s="78">
        <f>I124-VLOOKUP($B124,Şablon!$E$3:$Q$255,5,FALSE)</f>
        <v>-98</v>
      </c>
      <c r="H124" s="55"/>
      <c r="I124" s="78">
        <f>K124-VLOOKUP($B124,Şablon!$E$3:$Q$255,6,FALSE)</f>
        <v>-98</v>
      </c>
      <c r="J124" s="55"/>
      <c r="K124" s="78">
        <f>M124-VLOOKUP($B124,Şablon!$E$3:$Q$255,7,FALSE)</f>
        <v>-84</v>
      </c>
      <c r="L124" s="55"/>
      <c r="M124" s="78">
        <f>O124-VLOOKUP($B124,Şablon!$E$3:$Q$255,8,FALSE)</f>
        <v>-70</v>
      </c>
      <c r="N124" s="55"/>
      <c r="O124" s="78">
        <f>Q124-VLOOKUP($B124,Şablon!$E$3:$Q$255,9,FALSE)</f>
        <v>-49</v>
      </c>
      <c r="P124" s="55"/>
      <c r="Q124" s="78">
        <f>S124-VLOOKUP($B124,Şablon!$E$3:$Q$255,10,FALSE)</f>
        <v>-35</v>
      </c>
      <c r="R124" s="55"/>
      <c r="S124" s="78">
        <f>U124-(VLOOKUP($B124,Şablon!$E$3:$Q$255,11,FALSE)+VLOOKUP($B124,Şablon!$E$3:$Q$255,12,FALSE))</f>
        <v>-21</v>
      </c>
      <c r="T124" s="55"/>
      <c r="U124" s="57"/>
      <c r="V124" s="55"/>
      <c r="W124" s="59"/>
      <c r="X124" s="60"/>
      <c r="Y124" s="60"/>
      <c r="Z124" s="60"/>
      <c r="AA124" s="60"/>
      <c r="AB124" s="60"/>
      <c r="AC124" s="136"/>
    </row>
    <row r="125" spans="2:29" ht="19.8" customHeight="1" x14ac:dyDescent="0.3">
      <c r="B125" s="64" t="str">
        <f>Şablon!E124</f>
        <v>IHL.3028.119/1</v>
      </c>
      <c r="C125" s="76" t="str">
        <f>VLOOKUP($B125,Şablon!$E$3:$Q$255,2,FALSE)</f>
        <v>31.02.01 (M) KLİMA VE VRV İŞLERİ</v>
      </c>
      <c r="D125" s="87"/>
      <c r="E125" s="76" t="str">
        <f>VLOOKUP($B125,Şablon!$E$3:$Q$255,3,FALSE)</f>
        <v>A KATEGORİ</v>
      </c>
      <c r="F125" s="77" t="str">
        <f>VLOOKUP($B125,Şablon!$E$3:$Q$255,4,FALSE)</f>
        <v>MEK</v>
      </c>
      <c r="G125" s="78">
        <f>I125-VLOOKUP($B125,Şablon!$E$3:$Q$255,5,FALSE)</f>
        <v>-133</v>
      </c>
      <c r="H125" s="55"/>
      <c r="I125" s="78">
        <f>K125-VLOOKUP($B125,Şablon!$E$3:$Q$255,6,FALSE)</f>
        <v>-133</v>
      </c>
      <c r="J125" s="55"/>
      <c r="K125" s="78">
        <f>M125-VLOOKUP($B125,Şablon!$E$3:$Q$255,7,FALSE)</f>
        <v>-119</v>
      </c>
      <c r="L125" s="55"/>
      <c r="M125" s="78">
        <f>O125-VLOOKUP($B125,Şablon!$E$3:$Q$255,8,FALSE)</f>
        <v>-105</v>
      </c>
      <c r="N125" s="55"/>
      <c r="O125" s="78">
        <f>Q125-VLOOKUP($B125,Şablon!$E$3:$Q$255,9,FALSE)</f>
        <v>-84</v>
      </c>
      <c r="P125" s="55"/>
      <c r="Q125" s="78">
        <f>S125-VLOOKUP($B125,Şablon!$E$3:$Q$255,10,FALSE)</f>
        <v>-70</v>
      </c>
      <c r="R125" s="55"/>
      <c r="S125" s="78">
        <f>U125-(VLOOKUP($B125,Şablon!$E$3:$Q$255,11,FALSE)+VLOOKUP($B125,Şablon!$E$3:$Q$255,12,FALSE))</f>
        <v>-56</v>
      </c>
      <c r="T125" s="55"/>
      <c r="U125" s="57"/>
      <c r="V125" s="55"/>
      <c r="W125" s="59"/>
      <c r="X125" s="60"/>
      <c r="Y125" s="60"/>
      <c r="Z125" s="60"/>
      <c r="AA125" s="60"/>
      <c r="AB125" s="60"/>
      <c r="AC125" s="136"/>
    </row>
    <row r="126" spans="2:29" ht="19.8" customHeight="1" x14ac:dyDescent="0.3">
      <c r="B126" s="64" t="str">
        <f>Şablon!E125</f>
        <v>IHL.3028.120/1</v>
      </c>
      <c r="C126" s="76" t="str">
        <f>VLOOKUP($B126,Şablon!$E$3:$Q$255,2,FALSE)</f>
        <v>31.02.02 (M) KAZAN</v>
      </c>
      <c r="D126" s="87"/>
      <c r="E126" s="76" t="str">
        <f>VLOOKUP($B126,Şablon!$E$3:$Q$255,3,FALSE)</f>
        <v>B KATEGORİ</v>
      </c>
      <c r="F126" s="77" t="str">
        <f>VLOOKUP($B126,Şablon!$E$3:$Q$255,4,FALSE)</f>
        <v>MEK</v>
      </c>
      <c r="G126" s="78">
        <f>I126-VLOOKUP($B126,Şablon!$E$3:$Q$255,5,FALSE)</f>
        <v>-105</v>
      </c>
      <c r="H126" s="55"/>
      <c r="I126" s="78">
        <f>K126-VLOOKUP($B126,Şablon!$E$3:$Q$255,6,FALSE)</f>
        <v>-105</v>
      </c>
      <c r="J126" s="55"/>
      <c r="K126" s="78">
        <f>M126-VLOOKUP($B126,Şablon!$E$3:$Q$255,7,FALSE)</f>
        <v>-91</v>
      </c>
      <c r="L126" s="55"/>
      <c r="M126" s="78">
        <f>O126-VLOOKUP($B126,Şablon!$E$3:$Q$255,8,FALSE)</f>
        <v>-84</v>
      </c>
      <c r="N126" s="55"/>
      <c r="O126" s="78">
        <f>Q126-VLOOKUP($B126,Şablon!$E$3:$Q$255,9,FALSE)</f>
        <v>-70</v>
      </c>
      <c r="P126" s="55"/>
      <c r="Q126" s="78">
        <f>S126-VLOOKUP($B126,Şablon!$E$3:$Q$255,10,FALSE)</f>
        <v>-63</v>
      </c>
      <c r="R126" s="55"/>
      <c r="S126" s="78">
        <f>U126-(VLOOKUP($B126,Şablon!$E$3:$Q$255,11,FALSE)+VLOOKUP($B126,Şablon!$E$3:$Q$255,12,FALSE))</f>
        <v>-56</v>
      </c>
      <c r="T126" s="55"/>
      <c r="U126" s="57"/>
      <c r="V126" s="55"/>
      <c r="W126" s="59"/>
      <c r="X126" s="60"/>
      <c r="Y126" s="60"/>
      <c r="Z126" s="60"/>
      <c r="AA126" s="60"/>
      <c r="AB126" s="60"/>
      <c r="AC126" s="136"/>
    </row>
    <row r="127" spans="2:29" ht="19.8" customHeight="1" x14ac:dyDescent="0.3">
      <c r="B127" s="64" t="str">
        <f>Şablon!E126</f>
        <v>IHL.3028.121/1</v>
      </c>
      <c r="C127" s="76" t="str">
        <f>VLOOKUP($B127,Şablon!$E$3:$Q$255,2,FALSE)</f>
        <v>31.02.03 (M) POMPALAR</v>
      </c>
      <c r="D127" s="87"/>
      <c r="E127" s="76" t="str">
        <f>VLOOKUP($B127,Şablon!$E$3:$Q$255,3,FALSE)</f>
        <v>B KATEGORİ</v>
      </c>
      <c r="F127" s="77" t="str">
        <f>VLOOKUP($B127,Şablon!$E$3:$Q$255,4,FALSE)</f>
        <v>MEK</v>
      </c>
      <c r="G127" s="78">
        <f>I127-VLOOKUP($B127,Şablon!$E$3:$Q$255,5,FALSE)</f>
        <v>-91</v>
      </c>
      <c r="H127" s="55"/>
      <c r="I127" s="78">
        <f>K127-VLOOKUP($B127,Şablon!$E$3:$Q$255,6,FALSE)</f>
        <v>-91</v>
      </c>
      <c r="J127" s="55"/>
      <c r="K127" s="78">
        <f>M127-VLOOKUP($B127,Şablon!$E$3:$Q$255,7,FALSE)</f>
        <v>-77</v>
      </c>
      <c r="L127" s="55"/>
      <c r="M127" s="78">
        <f>O127-VLOOKUP($B127,Şablon!$E$3:$Q$255,8,FALSE)</f>
        <v>-70</v>
      </c>
      <c r="N127" s="55"/>
      <c r="O127" s="78">
        <f>Q127-VLOOKUP($B127,Şablon!$E$3:$Q$255,9,FALSE)</f>
        <v>-56</v>
      </c>
      <c r="P127" s="55"/>
      <c r="Q127" s="78">
        <f>S127-VLOOKUP($B127,Şablon!$E$3:$Q$255,10,FALSE)</f>
        <v>-49</v>
      </c>
      <c r="R127" s="55"/>
      <c r="S127" s="78">
        <f>U127-(VLOOKUP($B127,Şablon!$E$3:$Q$255,11,FALSE)+VLOOKUP($B127,Şablon!$E$3:$Q$255,12,FALSE))</f>
        <v>-42</v>
      </c>
      <c r="T127" s="55"/>
      <c r="U127" s="57"/>
      <c r="V127" s="55"/>
      <c r="W127" s="59"/>
      <c r="X127" s="60"/>
      <c r="Y127" s="60"/>
      <c r="Z127" s="60"/>
      <c r="AA127" s="60"/>
      <c r="AB127" s="60"/>
      <c r="AC127" s="136"/>
    </row>
    <row r="128" spans="2:29" ht="19.8" customHeight="1" x14ac:dyDescent="0.3">
      <c r="B128" s="64" t="str">
        <f>Şablon!E127</f>
        <v>IHL.3028.122/1</v>
      </c>
      <c r="C128" s="76" t="str">
        <f>VLOOKUP($B128,Şablon!$E$3:$Q$255,2,FALSE)</f>
        <v>31.02.04 SUB-STAİON İŞLERİ</v>
      </c>
      <c r="D128" s="87"/>
      <c r="E128" s="76" t="str">
        <f>VLOOKUP($B128,Şablon!$E$3:$Q$255,3,FALSE)</f>
        <v>B KATEGORİ</v>
      </c>
      <c r="F128" s="77" t="str">
        <f>VLOOKUP($B128,Şablon!$E$3:$Q$255,4,FALSE)</f>
        <v>MEK</v>
      </c>
      <c r="G128" s="78">
        <f>I128-VLOOKUP($B128,Şablon!$E$3:$Q$255,5,FALSE)</f>
        <v>-112</v>
      </c>
      <c r="H128" s="55"/>
      <c r="I128" s="78">
        <f>K128-VLOOKUP($B128,Şablon!$E$3:$Q$255,6,FALSE)</f>
        <v>-112</v>
      </c>
      <c r="J128" s="55"/>
      <c r="K128" s="78">
        <f>M128-VLOOKUP($B128,Şablon!$E$3:$Q$255,7,FALSE)</f>
        <v>-98</v>
      </c>
      <c r="L128" s="55"/>
      <c r="M128" s="78">
        <f>O128-VLOOKUP($B128,Şablon!$E$3:$Q$255,8,FALSE)</f>
        <v>-84</v>
      </c>
      <c r="N128" s="55"/>
      <c r="O128" s="78">
        <f>Q128-VLOOKUP($B128,Şablon!$E$3:$Q$255,9,FALSE)</f>
        <v>-70</v>
      </c>
      <c r="P128" s="55"/>
      <c r="Q128" s="78">
        <f>S128-VLOOKUP($B128,Şablon!$E$3:$Q$255,10,FALSE)</f>
        <v>-63</v>
      </c>
      <c r="R128" s="55"/>
      <c r="S128" s="78">
        <f>U128-(VLOOKUP($B128,Şablon!$E$3:$Q$255,11,FALSE)+VLOOKUP($B128,Şablon!$E$3:$Q$255,12,FALSE))</f>
        <v>-56</v>
      </c>
      <c r="T128" s="55"/>
      <c r="U128" s="57"/>
      <c r="V128" s="55"/>
      <c r="W128" s="59"/>
      <c r="X128" s="60"/>
      <c r="Y128" s="60"/>
      <c r="Z128" s="60"/>
      <c r="AA128" s="60"/>
      <c r="AB128" s="60"/>
      <c r="AC128" s="136"/>
    </row>
    <row r="129" spans="2:29" ht="19.8" customHeight="1" x14ac:dyDescent="0.3">
      <c r="B129" s="64" t="str">
        <f>Şablon!E128</f>
        <v>IHL.3028.123/1</v>
      </c>
      <c r="C129" s="76" t="str">
        <f>VLOOKUP($B129,Şablon!$E$3:$Q$255,2,FALSE)</f>
        <v>31.03.00 VRV HAVALANDIRMA İŞLERİ</v>
      </c>
      <c r="D129" s="87"/>
      <c r="E129" s="76" t="str">
        <f>VLOOKUP($B129,Şablon!$E$3:$Q$255,3,FALSE)</f>
        <v>B KATEGORİ</v>
      </c>
      <c r="F129" s="77" t="str">
        <f>VLOOKUP($B129,Şablon!$E$3:$Q$255,4,FALSE)</f>
        <v>MEK</v>
      </c>
      <c r="G129" s="78">
        <f>I129-VLOOKUP($B129,Şablon!$E$3:$Q$255,5,FALSE)</f>
        <v>-91</v>
      </c>
      <c r="H129" s="55"/>
      <c r="I129" s="78">
        <f>K129-VLOOKUP($B129,Şablon!$E$3:$Q$255,6,FALSE)</f>
        <v>-91</v>
      </c>
      <c r="J129" s="55"/>
      <c r="K129" s="78">
        <f>M129-VLOOKUP($B129,Şablon!$E$3:$Q$255,7,FALSE)</f>
        <v>-77</v>
      </c>
      <c r="L129" s="55"/>
      <c r="M129" s="78">
        <f>O129-VLOOKUP($B129,Şablon!$E$3:$Q$255,8,FALSE)</f>
        <v>-63</v>
      </c>
      <c r="N129" s="55"/>
      <c r="O129" s="78">
        <f>Q129-VLOOKUP($B129,Şablon!$E$3:$Q$255,9,FALSE)</f>
        <v>-42</v>
      </c>
      <c r="P129" s="55"/>
      <c r="Q129" s="78">
        <f>S129-VLOOKUP($B129,Şablon!$E$3:$Q$255,10,FALSE)</f>
        <v>-35</v>
      </c>
      <c r="R129" s="55"/>
      <c r="S129" s="78">
        <f>U129-(VLOOKUP($B129,Şablon!$E$3:$Q$255,11,FALSE)+VLOOKUP($B129,Şablon!$E$3:$Q$255,12,FALSE))</f>
        <v>-28</v>
      </c>
      <c r="T129" s="55"/>
      <c r="U129" s="57"/>
      <c r="V129" s="55"/>
      <c r="W129" s="59"/>
      <c r="X129" s="60"/>
      <c r="Y129" s="60"/>
      <c r="Z129" s="60"/>
      <c r="AA129" s="60"/>
      <c r="AB129" s="60"/>
      <c r="AC129" s="136"/>
    </row>
    <row r="130" spans="2:29" ht="19.8" customHeight="1" x14ac:dyDescent="0.3">
      <c r="B130" s="64" t="str">
        <f>Şablon!E129</f>
        <v>IHL.3028.124/1</v>
      </c>
      <c r="C130" s="76" t="str">
        <f>VLOOKUP($B130,Şablon!$E$3:$Q$255,2,FALSE)</f>
        <v>31.03.01 (M) FANLAR VE KLİMA SANTRALİ</v>
      </c>
      <c r="D130" s="87"/>
      <c r="E130" s="76" t="str">
        <f>VLOOKUP($B130,Şablon!$E$3:$Q$255,3,FALSE)</f>
        <v>B KATEGORİ</v>
      </c>
      <c r="F130" s="77" t="str">
        <f>VLOOKUP($B130,Şablon!$E$3:$Q$255,4,FALSE)</f>
        <v>MEK</v>
      </c>
      <c r="G130" s="78">
        <f>I130-VLOOKUP($B130,Şablon!$E$3:$Q$255,5,FALSE)</f>
        <v>-119</v>
      </c>
      <c r="H130" s="55"/>
      <c r="I130" s="78">
        <f>K130-VLOOKUP($B130,Şablon!$E$3:$Q$255,6,FALSE)</f>
        <v>-119</v>
      </c>
      <c r="J130" s="55"/>
      <c r="K130" s="78">
        <f>M130-VLOOKUP($B130,Şablon!$E$3:$Q$255,7,FALSE)</f>
        <v>-105</v>
      </c>
      <c r="L130" s="55"/>
      <c r="M130" s="78">
        <f>O130-VLOOKUP($B130,Şablon!$E$3:$Q$255,8,FALSE)</f>
        <v>-91</v>
      </c>
      <c r="N130" s="55"/>
      <c r="O130" s="78">
        <f>Q130-VLOOKUP($B130,Şablon!$E$3:$Q$255,9,FALSE)</f>
        <v>-70</v>
      </c>
      <c r="P130" s="55"/>
      <c r="Q130" s="78">
        <f>S130-VLOOKUP($B130,Şablon!$E$3:$Q$255,10,FALSE)</f>
        <v>-63</v>
      </c>
      <c r="R130" s="55"/>
      <c r="S130" s="78">
        <f>U130-(VLOOKUP($B130,Şablon!$E$3:$Q$255,11,FALSE)+VLOOKUP($B130,Şablon!$E$3:$Q$255,12,FALSE))</f>
        <v>-56</v>
      </c>
      <c r="T130" s="55"/>
      <c r="U130" s="57"/>
      <c r="V130" s="55"/>
      <c r="W130" s="59"/>
      <c r="X130" s="60"/>
      <c r="Y130" s="60"/>
      <c r="Z130" s="60"/>
      <c r="AA130" s="60"/>
      <c r="AB130" s="60"/>
      <c r="AC130" s="136"/>
    </row>
    <row r="131" spans="2:29" ht="19.8" customHeight="1" x14ac:dyDescent="0.3">
      <c r="B131" s="64" t="str">
        <f>Şablon!E130</f>
        <v>IHL.3028.125/1</v>
      </c>
      <c r="C131" s="76" t="str">
        <f>VLOOKUP($B131,Şablon!$E$3:$Q$255,2,FALSE)</f>
        <v>31.04.00 (M) YANGIN POMPASI</v>
      </c>
      <c r="D131" s="87"/>
      <c r="E131" s="76" t="str">
        <f>VLOOKUP($B131,Şablon!$E$3:$Q$255,3,FALSE)</f>
        <v>B KATEGORİ</v>
      </c>
      <c r="F131" s="77" t="str">
        <f>VLOOKUP($B131,Şablon!$E$3:$Q$255,4,FALSE)</f>
        <v>MEK</v>
      </c>
      <c r="G131" s="78">
        <f>I131-VLOOKUP($B131,Şablon!$E$3:$Q$255,5,FALSE)</f>
        <v>-119</v>
      </c>
      <c r="H131" s="55"/>
      <c r="I131" s="78">
        <f>K131-VLOOKUP($B131,Şablon!$E$3:$Q$255,6,FALSE)</f>
        <v>-119</v>
      </c>
      <c r="J131" s="55"/>
      <c r="K131" s="78">
        <f>M131-VLOOKUP($B131,Şablon!$E$3:$Q$255,7,FALSE)</f>
        <v>-105</v>
      </c>
      <c r="L131" s="55"/>
      <c r="M131" s="78">
        <f>O131-VLOOKUP($B131,Şablon!$E$3:$Q$255,8,FALSE)</f>
        <v>-98</v>
      </c>
      <c r="N131" s="55"/>
      <c r="O131" s="78">
        <f>Q131-VLOOKUP($B131,Şablon!$E$3:$Q$255,9,FALSE)</f>
        <v>-84</v>
      </c>
      <c r="P131" s="55"/>
      <c r="Q131" s="78">
        <f>S131-VLOOKUP($B131,Şablon!$E$3:$Q$255,10,FALSE)</f>
        <v>-77</v>
      </c>
      <c r="R131" s="55"/>
      <c r="S131" s="78">
        <f>U131-(VLOOKUP($B131,Şablon!$E$3:$Q$255,11,FALSE)+VLOOKUP($B131,Şablon!$E$3:$Q$255,12,FALSE))</f>
        <v>-70</v>
      </c>
      <c r="T131" s="55"/>
      <c r="U131" s="57"/>
      <c r="V131" s="55"/>
      <c r="W131" s="59"/>
      <c r="X131" s="60"/>
      <c r="Y131" s="60"/>
      <c r="Z131" s="60"/>
      <c r="AA131" s="60"/>
      <c r="AB131" s="60"/>
      <c r="AC131" s="136"/>
    </row>
    <row r="132" spans="2:29" ht="19.8" customHeight="1" x14ac:dyDescent="0.3">
      <c r="B132" s="64" t="str">
        <f>Şablon!E131</f>
        <v>IHL.3028.126/1</v>
      </c>
      <c r="C132" s="76" t="str">
        <f>VLOOKUP($B132,Şablon!$E$3:$Q$255,2,FALSE)</f>
        <v>31.04.01 FM 200 SİSTEMİ</v>
      </c>
      <c r="D132" s="87"/>
      <c r="E132" s="76" t="str">
        <f>VLOOKUP($B132,Şablon!$E$3:$Q$255,3,FALSE)</f>
        <v>B KATEGORİ</v>
      </c>
      <c r="F132" s="77" t="str">
        <f>VLOOKUP($B132,Şablon!$E$3:$Q$255,4,FALSE)</f>
        <v>MEK</v>
      </c>
      <c r="G132" s="78">
        <f>I132-VLOOKUP($B132,Şablon!$E$3:$Q$255,5,FALSE)</f>
        <v>-84</v>
      </c>
      <c r="H132" s="55"/>
      <c r="I132" s="78">
        <f>K132-VLOOKUP($B132,Şablon!$E$3:$Q$255,6,FALSE)</f>
        <v>-84</v>
      </c>
      <c r="J132" s="55"/>
      <c r="K132" s="78">
        <f>M132-VLOOKUP($B132,Şablon!$E$3:$Q$255,7,FALSE)</f>
        <v>-70</v>
      </c>
      <c r="L132" s="55"/>
      <c r="M132" s="78">
        <f>O132-VLOOKUP($B132,Şablon!$E$3:$Q$255,8,FALSE)</f>
        <v>-63</v>
      </c>
      <c r="N132" s="55"/>
      <c r="O132" s="78">
        <f>Q132-VLOOKUP($B132,Şablon!$E$3:$Q$255,9,FALSE)</f>
        <v>-56</v>
      </c>
      <c r="P132" s="55"/>
      <c r="Q132" s="78">
        <f>S132-VLOOKUP($B132,Şablon!$E$3:$Q$255,10,FALSE)</f>
        <v>-49</v>
      </c>
      <c r="R132" s="55"/>
      <c r="S132" s="78">
        <f>U132-(VLOOKUP($B132,Şablon!$E$3:$Q$255,11,FALSE)+VLOOKUP($B132,Şablon!$E$3:$Q$255,12,FALSE))</f>
        <v>-42</v>
      </c>
      <c r="T132" s="55"/>
      <c r="U132" s="57"/>
      <c r="V132" s="55"/>
      <c r="W132" s="59"/>
      <c r="X132" s="60"/>
      <c r="Y132" s="60"/>
      <c r="Z132" s="60"/>
      <c r="AA132" s="60"/>
      <c r="AB132" s="60"/>
      <c r="AC132" s="136"/>
    </row>
    <row r="133" spans="2:29" ht="19.8" customHeight="1" x14ac:dyDescent="0.3">
      <c r="B133" s="64" t="str">
        <f>Şablon!E132</f>
        <v>IHL.3028.127/1</v>
      </c>
      <c r="C133" s="76" t="str">
        <f>VLOOKUP($B133,Şablon!$E$3:$Q$255,2,FALSE)</f>
        <v>31.05.00 DOĞALGAZ SİSTEMİ</v>
      </c>
      <c r="D133" s="87"/>
      <c r="E133" s="76" t="str">
        <f>VLOOKUP($B133,Şablon!$E$3:$Q$255,3,FALSE)</f>
        <v>B KATEGORİ</v>
      </c>
      <c r="F133" s="77" t="str">
        <f>VLOOKUP($B133,Şablon!$E$3:$Q$255,4,FALSE)</f>
        <v>MEK</v>
      </c>
      <c r="G133" s="78">
        <f>I133-VLOOKUP($B133,Şablon!$E$3:$Q$255,5,FALSE)</f>
        <v>-84</v>
      </c>
      <c r="H133" s="55"/>
      <c r="I133" s="78">
        <f>K133-VLOOKUP($B133,Şablon!$E$3:$Q$255,6,FALSE)</f>
        <v>-84</v>
      </c>
      <c r="J133" s="55"/>
      <c r="K133" s="78">
        <f>M133-VLOOKUP($B133,Şablon!$E$3:$Q$255,7,FALSE)</f>
        <v>-70</v>
      </c>
      <c r="L133" s="55"/>
      <c r="M133" s="78">
        <f>O133-VLOOKUP($B133,Şablon!$E$3:$Q$255,8,FALSE)</f>
        <v>-56</v>
      </c>
      <c r="N133" s="55"/>
      <c r="O133" s="78">
        <f>Q133-VLOOKUP($B133,Şablon!$E$3:$Q$255,9,FALSE)</f>
        <v>-42</v>
      </c>
      <c r="P133" s="55"/>
      <c r="Q133" s="78">
        <f>S133-VLOOKUP($B133,Şablon!$E$3:$Q$255,10,FALSE)</f>
        <v>-35</v>
      </c>
      <c r="R133" s="55"/>
      <c r="S133" s="78">
        <f>U133-(VLOOKUP($B133,Şablon!$E$3:$Q$255,11,FALSE)+VLOOKUP($B133,Şablon!$E$3:$Q$255,12,FALSE))</f>
        <v>-28</v>
      </c>
      <c r="T133" s="55"/>
      <c r="U133" s="57"/>
      <c r="V133" s="55"/>
      <c r="W133" s="59"/>
      <c r="X133" s="60"/>
      <c r="Y133" s="60"/>
      <c r="Z133" s="60"/>
      <c r="AA133" s="60"/>
      <c r="AB133" s="60"/>
      <c r="AC133" s="136"/>
    </row>
    <row r="134" spans="2:29" ht="19.8" customHeight="1" x14ac:dyDescent="0.3">
      <c r="B134" s="64" t="str">
        <f>Şablon!E133</f>
        <v>IHL.3028.128/1</v>
      </c>
      <c r="C134" s="76" t="str">
        <f>VLOOKUP($B134,Şablon!$E$3:$Q$255,2,FALSE)</f>
        <v>31.07.00 HAVUZ TESİSAT İŞLERİ</v>
      </c>
      <c r="D134" s="87"/>
      <c r="E134" s="76" t="str">
        <f>VLOOKUP($B134,Şablon!$E$3:$Q$255,3,FALSE)</f>
        <v>B KATEGORİ</v>
      </c>
      <c r="F134" s="77" t="str">
        <f>VLOOKUP($B134,Şablon!$E$3:$Q$255,4,FALSE)</f>
        <v>MEK</v>
      </c>
      <c r="G134" s="78">
        <f>I134-VLOOKUP($B134,Şablon!$E$3:$Q$255,5,FALSE)</f>
        <v>-119</v>
      </c>
      <c r="H134" s="55"/>
      <c r="I134" s="78">
        <f>K134-VLOOKUP($B134,Şablon!$E$3:$Q$255,6,FALSE)</f>
        <v>-119</v>
      </c>
      <c r="J134" s="55"/>
      <c r="K134" s="78">
        <f>M134-VLOOKUP($B134,Şablon!$E$3:$Q$255,7,FALSE)</f>
        <v>-105</v>
      </c>
      <c r="L134" s="55"/>
      <c r="M134" s="78">
        <f>O134-VLOOKUP($B134,Şablon!$E$3:$Q$255,8,FALSE)</f>
        <v>-91</v>
      </c>
      <c r="N134" s="55"/>
      <c r="O134" s="78">
        <f>Q134-VLOOKUP($B134,Şablon!$E$3:$Q$255,9,FALSE)</f>
        <v>-70</v>
      </c>
      <c r="P134" s="55"/>
      <c r="Q134" s="78">
        <f>S134-VLOOKUP($B134,Şablon!$E$3:$Q$255,10,FALSE)</f>
        <v>-56</v>
      </c>
      <c r="R134" s="55"/>
      <c r="S134" s="78">
        <f>U134-(VLOOKUP($B134,Şablon!$E$3:$Q$255,11,FALSE)+VLOOKUP($B134,Şablon!$E$3:$Q$255,12,FALSE))</f>
        <v>-42</v>
      </c>
      <c r="T134" s="55"/>
      <c r="U134" s="57"/>
      <c r="V134" s="55"/>
      <c r="W134" s="59"/>
      <c r="X134" s="60"/>
      <c r="Y134" s="60"/>
      <c r="Z134" s="60"/>
      <c r="AA134" s="60"/>
      <c r="AB134" s="60"/>
      <c r="AC134" s="136"/>
    </row>
    <row r="135" spans="2:29" ht="19.8" customHeight="1" x14ac:dyDescent="0.3">
      <c r="B135" s="64" t="str">
        <f>Şablon!E134</f>
        <v>IHL.3028.129/1</v>
      </c>
      <c r="C135" s="76" t="str">
        <f>VLOOKUP($B135,Şablon!$E$3:$Q$255,2,FALSE)</f>
        <v>33.00.00 TEMEL TOPRAKLAMA TESİSAT İŞLERİ</v>
      </c>
      <c r="D135" s="87"/>
      <c r="E135" s="76" t="str">
        <f>VLOOKUP($B135,Şablon!$E$3:$Q$255,3,FALSE)</f>
        <v>B KATEGORİ</v>
      </c>
      <c r="F135" s="77" t="str">
        <f>VLOOKUP($B135,Şablon!$E$3:$Q$255,4,FALSE)</f>
        <v>ELK</v>
      </c>
      <c r="G135" s="78">
        <f>I135-VLOOKUP($B135,Şablon!$E$3:$Q$255,5,FALSE)</f>
        <v>-56</v>
      </c>
      <c r="H135" s="55"/>
      <c r="I135" s="78">
        <f>K135-VLOOKUP($B135,Şablon!$E$3:$Q$255,6,FALSE)</f>
        <v>-56</v>
      </c>
      <c r="J135" s="55"/>
      <c r="K135" s="78">
        <f>M135-VLOOKUP($B135,Şablon!$E$3:$Q$255,7,FALSE)</f>
        <v>-42</v>
      </c>
      <c r="L135" s="55"/>
      <c r="M135" s="78">
        <f>O135-VLOOKUP($B135,Şablon!$E$3:$Q$255,8,FALSE)</f>
        <v>-35</v>
      </c>
      <c r="N135" s="55"/>
      <c r="O135" s="78">
        <f>Q135-VLOOKUP($B135,Şablon!$E$3:$Q$255,9,FALSE)</f>
        <v>-21</v>
      </c>
      <c r="P135" s="55"/>
      <c r="Q135" s="78">
        <f>S135-VLOOKUP($B135,Şablon!$E$3:$Q$255,10,FALSE)</f>
        <v>-14</v>
      </c>
      <c r="R135" s="55"/>
      <c r="S135" s="78">
        <f>U135-(VLOOKUP($B135,Şablon!$E$3:$Q$255,11,FALSE)+VLOOKUP($B135,Şablon!$E$3:$Q$255,12,FALSE))</f>
        <v>-7</v>
      </c>
      <c r="T135" s="55"/>
      <c r="U135" s="57"/>
      <c r="V135" s="55"/>
      <c r="W135" s="59"/>
      <c r="X135" s="60"/>
      <c r="Y135" s="60"/>
      <c r="Z135" s="60"/>
      <c r="AA135" s="60"/>
      <c r="AB135" s="60"/>
      <c r="AC135" s="136"/>
    </row>
    <row r="136" spans="2:29" ht="19.8" customHeight="1" x14ac:dyDescent="0.3">
      <c r="B136" s="64" t="str">
        <f>Şablon!E135</f>
        <v>IHL.3028.130/1</v>
      </c>
      <c r="C136" s="76" t="str">
        <f>VLOOKUP($B136,Şablon!$E$3:$Q$255,2,FALSE)</f>
        <v>33.00.01 ELEKTRİK TESİSAT İŞLERİ</v>
      </c>
      <c r="D136" s="87"/>
      <c r="E136" s="76" t="str">
        <f>VLOOKUP($B136,Şablon!$E$3:$Q$255,3,FALSE)</f>
        <v>A KATEGORİ</v>
      </c>
      <c r="F136" s="77" t="str">
        <f>VLOOKUP($B136,Şablon!$E$3:$Q$255,4,FALSE)</f>
        <v>ELK</v>
      </c>
      <c r="G136" s="78">
        <f>I136-VLOOKUP($B136,Şablon!$E$3:$Q$255,5,FALSE)</f>
        <v>-103</v>
      </c>
      <c r="H136" s="55"/>
      <c r="I136" s="78">
        <f>K136-VLOOKUP($B136,Şablon!$E$3:$Q$255,6,FALSE)</f>
        <v>-103</v>
      </c>
      <c r="J136" s="55"/>
      <c r="K136" s="78">
        <f>M136-VLOOKUP($B136,Şablon!$E$3:$Q$255,7,FALSE)</f>
        <v>-89</v>
      </c>
      <c r="L136" s="55"/>
      <c r="M136" s="78">
        <f>O136-VLOOKUP($B136,Şablon!$E$3:$Q$255,8,FALSE)</f>
        <v>-68</v>
      </c>
      <c r="N136" s="55"/>
      <c r="O136" s="78">
        <f>Q136-VLOOKUP($B136,Şablon!$E$3:$Q$255,9,FALSE)</f>
        <v>-38</v>
      </c>
      <c r="P136" s="55"/>
      <c r="Q136" s="78">
        <f>S136-VLOOKUP($B136,Şablon!$E$3:$Q$255,10,FALSE)</f>
        <v>-28</v>
      </c>
      <c r="R136" s="55"/>
      <c r="S136" s="78">
        <f>U136-(VLOOKUP($B136,Şablon!$E$3:$Q$255,11,FALSE)+VLOOKUP($B136,Şablon!$E$3:$Q$255,12,FALSE))</f>
        <v>-14</v>
      </c>
      <c r="T136" s="55"/>
      <c r="U136" s="57"/>
      <c r="V136" s="55"/>
      <c r="W136" s="59"/>
      <c r="X136" s="60"/>
      <c r="Y136" s="60"/>
      <c r="Z136" s="60"/>
      <c r="AA136" s="60"/>
      <c r="AB136" s="60"/>
      <c r="AC136" s="136"/>
    </row>
    <row r="137" spans="2:29" ht="19.8" customHeight="1" x14ac:dyDescent="0.3">
      <c r="B137" s="64" t="str">
        <f>Şablon!E136</f>
        <v>IHL.3028.131/1</v>
      </c>
      <c r="C137" s="76" t="str">
        <f>VLOOKUP($B137,Şablon!$E$3:$Q$255,2,FALSE)</f>
        <v>33.01.00 JENERATÖR İŞLERİ</v>
      </c>
      <c r="D137" s="87"/>
      <c r="E137" s="76" t="str">
        <f>VLOOKUP($B137,Şablon!$E$3:$Q$255,3,FALSE)</f>
        <v>B KATEGORİ</v>
      </c>
      <c r="F137" s="77" t="str">
        <f>VLOOKUP($B137,Şablon!$E$3:$Q$255,4,FALSE)</f>
        <v>ELK</v>
      </c>
      <c r="G137" s="78">
        <f>I137-VLOOKUP($B137,Şablon!$E$3:$Q$255,5,FALSE)</f>
        <v>-119</v>
      </c>
      <c r="H137" s="55"/>
      <c r="I137" s="78">
        <f>K137-VLOOKUP($B137,Şablon!$E$3:$Q$255,6,FALSE)</f>
        <v>-119</v>
      </c>
      <c r="J137" s="55"/>
      <c r="K137" s="78">
        <f>M137-VLOOKUP($B137,Şablon!$E$3:$Q$255,7,FALSE)</f>
        <v>-105</v>
      </c>
      <c r="L137" s="55"/>
      <c r="M137" s="78">
        <f>O137-VLOOKUP($B137,Şablon!$E$3:$Q$255,8,FALSE)</f>
        <v>-98</v>
      </c>
      <c r="N137" s="55"/>
      <c r="O137" s="78">
        <f>Q137-VLOOKUP($B137,Şablon!$E$3:$Q$255,9,FALSE)</f>
        <v>-84</v>
      </c>
      <c r="P137" s="55"/>
      <c r="Q137" s="78">
        <f>S137-VLOOKUP($B137,Şablon!$E$3:$Q$255,10,FALSE)</f>
        <v>-77</v>
      </c>
      <c r="R137" s="55"/>
      <c r="S137" s="78">
        <f>U137-(VLOOKUP($B137,Şablon!$E$3:$Q$255,11,FALSE)+VLOOKUP($B137,Şablon!$E$3:$Q$255,12,FALSE))</f>
        <v>-70</v>
      </c>
      <c r="T137" s="55"/>
      <c r="U137" s="57"/>
      <c r="V137" s="55"/>
      <c r="W137" s="59"/>
      <c r="X137" s="60"/>
      <c r="Y137" s="60"/>
      <c r="Z137" s="60"/>
      <c r="AA137" s="60"/>
      <c r="AB137" s="60"/>
      <c r="AC137" s="136"/>
    </row>
    <row r="138" spans="2:29" ht="19.8" customHeight="1" x14ac:dyDescent="0.3">
      <c r="B138" s="64" t="str">
        <f>Şablon!E137</f>
        <v>IHL.3028.132/1</v>
      </c>
      <c r="C138" s="76" t="str">
        <f>VLOOKUP($B138,Şablon!$E$3:$Q$255,2,FALSE)</f>
        <v>33.01.01 (M) AYDINLATMA ARMATÜR</v>
      </c>
      <c r="D138" s="87"/>
      <c r="E138" s="76" t="str">
        <f>VLOOKUP($B138,Şablon!$E$3:$Q$255,3,FALSE)</f>
        <v>B KATEGORİ</v>
      </c>
      <c r="F138" s="77" t="str">
        <f>VLOOKUP($B138,Şablon!$E$3:$Q$255,4,FALSE)</f>
        <v>ELK</v>
      </c>
      <c r="G138" s="78">
        <f>I138-VLOOKUP($B138,Şablon!$E$3:$Q$255,5,FALSE)</f>
        <v>-98</v>
      </c>
      <c r="H138" s="55"/>
      <c r="I138" s="78">
        <f>K138-VLOOKUP($B138,Şablon!$E$3:$Q$255,6,FALSE)</f>
        <v>-98</v>
      </c>
      <c r="J138" s="55"/>
      <c r="K138" s="78">
        <f>M138-VLOOKUP($B138,Şablon!$E$3:$Q$255,7,FALSE)</f>
        <v>-84</v>
      </c>
      <c r="L138" s="55"/>
      <c r="M138" s="78">
        <f>O138-VLOOKUP($B138,Şablon!$E$3:$Q$255,8,FALSE)</f>
        <v>-70</v>
      </c>
      <c r="N138" s="55"/>
      <c r="O138" s="78">
        <f>Q138-VLOOKUP($B138,Şablon!$E$3:$Q$255,9,FALSE)</f>
        <v>-56</v>
      </c>
      <c r="P138" s="55"/>
      <c r="Q138" s="78">
        <f>S138-VLOOKUP($B138,Şablon!$E$3:$Q$255,10,FALSE)</f>
        <v>-49</v>
      </c>
      <c r="R138" s="55"/>
      <c r="S138" s="78">
        <f>U138-(VLOOKUP($B138,Şablon!$E$3:$Q$255,11,FALSE)+VLOOKUP($B138,Şablon!$E$3:$Q$255,12,FALSE))</f>
        <v>-42</v>
      </c>
      <c r="T138" s="55"/>
      <c r="U138" s="57"/>
      <c r="V138" s="55"/>
      <c r="W138" s="59"/>
      <c r="X138" s="60"/>
      <c r="Y138" s="60"/>
      <c r="Z138" s="60"/>
      <c r="AA138" s="60"/>
      <c r="AB138" s="60"/>
      <c r="AC138" s="136"/>
    </row>
    <row r="139" spans="2:29" ht="19.8" customHeight="1" x14ac:dyDescent="0.3">
      <c r="B139" s="64" t="str">
        <f>Şablon!E138</f>
        <v>IHL.3028.133/1</v>
      </c>
      <c r="C139" s="76" t="str">
        <f>VLOOKUP($B139,Şablon!$E$3:$Q$255,2,FALSE)</f>
        <v>33.01.02 (M) CEPHE AYDINLATMA</v>
      </c>
      <c r="D139" s="87"/>
      <c r="E139" s="76" t="str">
        <f>VLOOKUP($B139,Şablon!$E$3:$Q$255,3,FALSE)</f>
        <v>B KATEGORİ</v>
      </c>
      <c r="F139" s="77" t="str">
        <f>VLOOKUP($B139,Şablon!$E$3:$Q$255,4,FALSE)</f>
        <v>ELK</v>
      </c>
      <c r="G139" s="78">
        <f>I139-VLOOKUP($B139,Şablon!$E$3:$Q$255,5,FALSE)</f>
        <v>-140</v>
      </c>
      <c r="H139" s="55"/>
      <c r="I139" s="78">
        <f>K139-VLOOKUP($B139,Şablon!$E$3:$Q$255,6,FALSE)</f>
        <v>-140</v>
      </c>
      <c r="J139" s="55"/>
      <c r="K139" s="78">
        <f>M139-VLOOKUP($B139,Şablon!$E$3:$Q$255,7,FALSE)</f>
        <v>-126</v>
      </c>
      <c r="L139" s="55"/>
      <c r="M139" s="78">
        <f>O139-VLOOKUP($B139,Şablon!$E$3:$Q$255,8,FALSE)</f>
        <v>-112</v>
      </c>
      <c r="N139" s="55"/>
      <c r="O139" s="78">
        <f>Q139-VLOOKUP($B139,Şablon!$E$3:$Q$255,9,FALSE)</f>
        <v>-98</v>
      </c>
      <c r="P139" s="55"/>
      <c r="Q139" s="78">
        <f>S139-VLOOKUP($B139,Şablon!$E$3:$Q$255,10,FALSE)</f>
        <v>-91</v>
      </c>
      <c r="R139" s="55"/>
      <c r="S139" s="78">
        <f>U139-(VLOOKUP($B139,Şablon!$E$3:$Q$255,11,FALSE)+VLOOKUP($B139,Şablon!$E$3:$Q$255,12,FALSE))</f>
        <v>-84</v>
      </c>
      <c r="T139" s="55"/>
      <c r="U139" s="57"/>
      <c r="V139" s="55"/>
      <c r="W139" s="59"/>
      <c r="X139" s="60"/>
      <c r="Y139" s="60"/>
      <c r="Z139" s="60"/>
      <c r="AA139" s="60"/>
      <c r="AB139" s="60"/>
      <c r="AC139" s="136"/>
    </row>
    <row r="140" spans="2:29" ht="19.8" customHeight="1" x14ac:dyDescent="0.3">
      <c r="B140" s="64" t="str">
        <f>Şablon!E139</f>
        <v>IHL.3028.134/1</v>
      </c>
      <c r="C140" s="76" t="str">
        <f>VLOOKUP($B140,Şablon!$E$3:$Q$255,2,FALSE)</f>
        <v>33.01.03 (M) ÇEVRE AYDINLATMA</v>
      </c>
      <c r="D140" s="87"/>
      <c r="E140" s="76" t="str">
        <f>VLOOKUP($B140,Şablon!$E$3:$Q$255,3,FALSE)</f>
        <v>B KATEGORİ</v>
      </c>
      <c r="F140" s="77" t="str">
        <f>VLOOKUP($B140,Şablon!$E$3:$Q$255,4,FALSE)</f>
        <v>ELK</v>
      </c>
      <c r="G140" s="78">
        <f>I140-VLOOKUP($B140,Şablon!$E$3:$Q$255,5,FALSE)</f>
        <v>-98</v>
      </c>
      <c r="H140" s="55"/>
      <c r="I140" s="78">
        <f>K140-VLOOKUP($B140,Şablon!$E$3:$Q$255,6,FALSE)</f>
        <v>-98</v>
      </c>
      <c r="J140" s="55"/>
      <c r="K140" s="78">
        <f>M140-VLOOKUP($B140,Şablon!$E$3:$Q$255,7,FALSE)</f>
        <v>-84</v>
      </c>
      <c r="L140" s="55"/>
      <c r="M140" s="78">
        <f>O140-VLOOKUP($B140,Şablon!$E$3:$Q$255,8,FALSE)</f>
        <v>-70</v>
      </c>
      <c r="N140" s="55"/>
      <c r="O140" s="78">
        <f>Q140-VLOOKUP($B140,Şablon!$E$3:$Q$255,9,FALSE)</f>
        <v>-56</v>
      </c>
      <c r="P140" s="55"/>
      <c r="Q140" s="78">
        <f>S140-VLOOKUP($B140,Şablon!$E$3:$Q$255,10,FALSE)</f>
        <v>-49</v>
      </c>
      <c r="R140" s="55"/>
      <c r="S140" s="78">
        <f>U140-(VLOOKUP($B140,Şablon!$E$3:$Q$255,11,FALSE)+VLOOKUP($B140,Şablon!$E$3:$Q$255,12,FALSE))</f>
        <v>-42</v>
      </c>
      <c r="T140" s="55"/>
      <c r="U140" s="57"/>
      <c r="V140" s="55"/>
      <c r="W140" s="59"/>
      <c r="X140" s="60"/>
      <c r="Y140" s="60"/>
      <c r="Z140" s="60"/>
      <c r="AA140" s="60"/>
      <c r="AB140" s="60"/>
      <c r="AC140" s="136"/>
    </row>
    <row r="141" spans="2:29" ht="19.8" customHeight="1" x14ac:dyDescent="0.3">
      <c r="B141" s="64" t="str">
        <f>Şablon!E140</f>
        <v>IHL.3028.135/1</v>
      </c>
      <c r="C141" s="76" t="str">
        <f>VLOOKUP($B141,Şablon!$E$3:$Q$255,2,FALSE)</f>
        <v>33.01.04 (M) ANAHTAR PRİZ</v>
      </c>
      <c r="D141" s="87"/>
      <c r="E141" s="76" t="str">
        <f>VLOOKUP($B141,Şablon!$E$3:$Q$255,3,FALSE)</f>
        <v>B KATEGORİ</v>
      </c>
      <c r="F141" s="77" t="str">
        <f>VLOOKUP($B141,Şablon!$E$3:$Q$255,4,FALSE)</f>
        <v>ELK</v>
      </c>
      <c r="G141" s="78">
        <f>I141-VLOOKUP($B141,Şablon!$E$3:$Q$255,5,FALSE)</f>
        <v>-98</v>
      </c>
      <c r="H141" s="55"/>
      <c r="I141" s="78">
        <f>K141-VLOOKUP($B141,Şablon!$E$3:$Q$255,6,FALSE)</f>
        <v>-98</v>
      </c>
      <c r="J141" s="55"/>
      <c r="K141" s="78">
        <f>M141-VLOOKUP($B141,Şablon!$E$3:$Q$255,7,FALSE)</f>
        <v>-84</v>
      </c>
      <c r="L141" s="55"/>
      <c r="M141" s="78">
        <f>O141-VLOOKUP($B141,Şablon!$E$3:$Q$255,8,FALSE)</f>
        <v>-70</v>
      </c>
      <c r="N141" s="55"/>
      <c r="O141" s="78">
        <f>Q141-VLOOKUP($B141,Şablon!$E$3:$Q$255,9,FALSE)</f>
        <v>-56</v>
      </c>
      <c r="P141" s="55"/>
      <c r="Q141" s="78">
        <f>S141-VLOOKUP($B141,Şablon!$E$3:$Q$255,10,FALSE)</f>
        <v>-49</v>
      </c>
      <c r="R141" s="55"/>
      <c r="S141" s="78">
        <f>U141-(VLOOKUP($B141,Şablon!$E$3:$Q$255,11,FALSE)+VLOOKUP($B141,Şablon!$E$3:$Q$255,12,FALSE))</f>
        <v>-42</v>
      </c>
      <c r="T141" s="55"/>
      <c r="U141" s="57"/>
      <c r="V141" s="55"/>
      <c r="W141" s="59"/>
      <c r="X141" s="60"/>
      <c r="Y141" s="60"/>
      <c r="Z141" s="60"/>
      <c r="AA141" s="60"/>
      <c r="AB141" s="60"/>
      <c r="AC141" s="136"/>
    </row>
    <row r="142" spans="2:29" ht="19.8" customHeight="1" x14ac:dyDescent="0.3">
      <c r="B142" s="64" t="str">
        <f>Şablon!E141</f>
        <v>IHL.3028.136/1</v>
      </c>
      <c r="C142" s="76" t="str">
        <f>VLOOKUP($B142,Şablon!$E$3:$Q$255,2,FALSE)</f>
        <v>33.01.05 KNX OTOMASYON İŞLERİ</v>
      </c>
      <c r="D142" s="87"/>
      <c r="E142" s="76" t="str">
        <f>VLOOKUP($B142,Şablon!$E$3:$Q$255,3,FALSE)</f>
        <v>B KATEGORİ</v>
      </c>
      <c r="F142" s="77" t="str">
        <f>VLOOKUP($B142,Şablon!$E$3:$Q$255,4,FALSE)</f>
        <v>ELK</v>
      </c>
      <c r="G142" s="78">
        <f>I142-VLOOKUP($B142,Şablon!$E$3:$Q$255,5,FALSE)</f>
        <v>-112</v>
      </c>
      <c r="H142" s="55"/>
      <c r="I142" s="78">
        <f>K142-VLOOKUP($B142,Şablon!$E$3:$Q$255,6,FALSE)</f>
        <v>-112</v>
      </c>
      <c r="J142" s="55"/>
      <c r="K142" s="78">
        <f>M142-VLOOKUP($B142,Şablon!$E$3:$Q$255,7,FALSE)</f>
        <v>-98</v>
      </c>
      <c r="L142" s="55"/>
      <c r="M142" s="78">
        <f>O142-VLOOKUP($B142,Şablon!$E$3:$Q$255,8,FALSE)</f>
        <v>-84</v>
      </c>
      <c r="N142" s="55"/>
      <c r="O142" s="78">
        <f>Q142-VLOOKUP($B142,Şablon!$E$3:$Q$255,9,FALSE)</f>
        <v>-70</v>
      </c>
      <c r="P142" s="55"/>
      <c r="Q142" s="78">
        <f>S142-VLOOKUP($B142,Şablon!$E$3:$Q$255,10,FALSE)</f>
        <v>-63</v>
      </c>
      <c r="R142" s="55"/>
      <c r="S142" s="78">
        <f>U142-(VLOOKUP($B142,Şablon!$E$3:$Q$255,11,FALSE)+VLOOKUP($B142,Şablon!$E$3:$Q$255,12,FALSE))</f>
        <v>-56</v>
      </c>
      <c r="T142" s="55"/>
      <c r="U142" s="57"/>
      <c r="V142" s="55"/>
      <c r="W142" s="59"/>
      <c r="X142" s="60"/>
      <c r="Y142" s="60"/>
      <c r="Z142" s="60"/>
      <c r="AA142" s="60"/>
      <c r="AB142" s="60"/>
      <c r="AC142" s="136"/>
    </row>
    <row r="143" spans="2:29" ht="19.8" customHeight="1" x14ac:dyDescent="0.3">
      <c r="B143" s="64" t="str">
        <f>Şablon!E142</f>
        <v>IHL.3028.137/1</v>
      </c>
      <c r="C143" s="76" t="str">
        <f>VLOOKUP($B143,Şablon!$E$3:$Q$255,2,FALSE)</f>
        <v>33.02.00 OTOPARK BARİYER İŞLERİ</v>
      </c>
      <c r="D143" s="87"/>
      <c r="E143" s="76" t="str">
        <f>VLOOKUP($B143,Şablon!$E$3:$Q$255,3,FALSE)</f>
        <v>B KATEGORİ</v>
      </c>
      <c r="F143" s="77" t="str">
        <f>VLOOKUP($B143,Şablon!$E$3:$Q$255,4,FALSE)</f>
        <v>ELK</v>
      </c>
      <c r="G143" s="78">
        <f>I143-VLOOKUP($B143,Şablon!$E$3:$Q$255,5,FALSE)</f>
        <v>-80</v>
      </c>
      <c r="H143" s="55"/>
      <c r="I143" s="78">
        <f>K143-VLOOKUP($B143,Şablon!$E$3:$Q$255,6,FALSE)</f>
        <v>-80</v>
      </c>
      <c r="J143" s="55"/>
      <c r="K143" s="78">
        <f>M143-VLOOKUP($B143,Şablon!$E$3:$Q$255,7,FALSE)</f>
        <v>-66</v>
      </c>
      <c r="L143" s="55"/>
      <c r="M143" s="78">
        <f>O143-VLOOKUP($B143,Şablon!$E$3:$Q$255,8,FALSE)</f>
        <v>-59</v>
      </c>
      <c r="N143" s="55"/>
      <c r="O143" s="78">
        <f>Q143-VLOOKUP($B143,Şablon!$E$3:$Q$255,9,FALSE)</f>
        <v>-52</v>
      </c>
      <c r="P143" s="55"/>
      <c r="Q143" s="78">
        <f>S143-VLOOKUP($B143,Şablon!$E$3:$Q$255,10,FALSE)</f>
        <v>-49</v>
      </c>
      <c r="R143" s="55"/>
      <c r="S143" s="78">
        <f>U143-(VLOOKUP($B143,Şablon!$E$3:$Q$255,11,FALSE)+VLOOKUP($B143,Şablon!$E$3:$Q$255,12,FALSE))</f>
        <v>-42</v>
      </c>
      <c r="T143" s="55"/>
      <c r="U143" s="57"/>
      <c r="V143" s="55"/>
      <c r="W143" s="59"/>
      <c r="X143" s="60"/>
      <c r="Y143" s="60"/>
      <c r="Z143" s="60"/>
      <c r="AA143" s="60"/>
      <c r="AB143" s="60"/>
      <c r="AC143" s="136"/>
    </row>
    <row r="144" spans="2:29" ht="19.8" customHeight="1" x14ac:dyDescent="0.3">
      <c r="B144" s="64" t="str">
        <f>Şablon!E143</f>
        <v>IHL.3028.138/1</v>
      </c>
      <c r="C144" s="76" t="str">
        <f>VLOOKUP($B144,Şablon!$E$3:$Q$255,2,FALSE)</f>
        <v xml:space="preserve">33.03.00 ENERJİ TEMİN İŞLERİ </v>
      </c>
      <c r="D144" s="87"/>
      <c r="E144" s="76" t="str">
        <f>VLOOKUP($B144,Şablon!$E$3:$Q$255,3,FALSE)</f>
        <v>B KATEGORİ</v>
      </c>
      <c r="F144" s="77" t="str">
        <f>VLOOKUP($B144,Şablon!$E$3:$Q$255,4,FALSE)</f>
        <v>ELK</v>
      </c>
      <c r="G144" s="78">
        <f>I144-VLOOKUP($B144,Şablon!$E$3:$Q$255,5,FALSE)</f>
        <v>-70</v>
      </c>
      <c r="H144" s="55"/>
      <c r="I144" s="78">
        <f>K144-VLOOKUP($B144,Şablon!$E$3:$Q$255,6,FALSE)</f>
        <v>-70</v>
      </c>
      <c r="J144" s="55"/>
      <c r="K144" s="78">
        <f>M144-VLOOKUP($B144,Şablon!$E$3:$Q$255,7,FALSE)</f>
        <v>-56</v>
      </c>
      <c r="L144" s="55"/>
      <c r="M144" s="78">
        <f>O144-VLOOKUP($B144,Şablon!$E$3:$Q$255,8,FALSE)</f>
        <v>-42</v>
      </c>
      <c r="N144" s="55"/>
      <c r="O144" s="78">
        <f>Q144-VLOOKUP($B144,Şablon!$E$3:$Q$255,9,FALSE)</f>
        <v>-28</v>
      </c>
      <c r="P144" s="55"/>
      <c r="Q144" s="78">
        <f>S144-VLOOKUP($B144,Şablon!$E$3:$Q$255,10,FALSE)</f>
        <v>-21</v>
      </c>
      <c r="R144" s="55"/>
      <c r="S144" s="78">
        <f>U144-(VLOOKUP($B144,Şablon!$E$3:$Q$255,11,FALSE)+VLOOKUP($B144,Şablon!$E$3:$Q$255,12,FALSE))</f>
        <v>-14</v>
      </c>
      <c r="T144" s="55"/>
      <c r="U144" s="57"/>
      <c r="V144" s="55"/>
      <c r="W144" s="59"/>
      <c r="X144" s="60"/>
      <c r="Y144" s="60"/>
      <c r="Z144" s="60"/>
      <c r="AA144" s="60"/>
      <c r="AB144" s="60"/>
      <c r="AC144" s="136"/>
    </row>
    <row r="145" spans="2:29" ht="19.8" customHeight="1" x14ac:dyDescent="0.3">
      <c r="B145" s="64" t="str">
        <f>Şablon!E144</f>
        <v>IHL.3028.139/1</v>
      </c>
      <c r="C145" s="76" t="str">
        <f>VLOOKUP($B145,Şablon!$E$3:$Q$255,2,FALSE)</f>
        <v>33.03.01 GES İŞLERİ</v>
      </c>
      <c r="D145" s="87"/>
      <c r="E145" s="76" t="str">
        <f>VLOOKUP($B145,Şablon!$E$3:$Q$255,3,FALSE)</f>
        <v>B KATEGORİ</v>
      </c>
      <c r="F145" s="77" t="str">
        <f>VLOOKUP($B145,Şablon!$E$3:$Q$255,4,FALSE)</f>
        <v>ELK</v>
      </c>
      <c r="G145" s="78">
        <f>I145-VLOOKUP($B145,Şablon!$E$3:$Q$255,5,FALSE)</f>
        <v>-70</v>
      </c>
      <c r="H145" s="55"/>
      <c r="I145" s="78">
        <f>K145-VLOOKUP($B145,Şablon!$E$3:$Q$255,6,FALSE)</f>
        <v>-70</v>
      </c>
      <c r="J145" s="55"/>
      <c r="K145" s="78">
        <f>M145-VLOOKUP($B145,Şablon!$E$3:$Q$255,7,FALSE)</f>
        <v>-56</v>
      </c>
      <c r="L145" s="55"/>
      <c r="M145" s="78">
        <f>O145-VLOOKUP($B145,Şablon!$E$3:$Q$255,8,FALSE)</f>
        <v>-42</v>
      </c>
      <c r="N145" s="55"/>
      <c r="O145" s="78">
        <f>Q145-VLOOKUP($B145,Şablon!$E$3:$Q$255,9,FALSE)</f>
        <v>-28</v>
      </c>
      <c r="P145" s="55"/>
      <c r="Q145" s="78">
        <f>S145-VLOOKUP($B145,Şablon!$E$3:$Q$255,10,FALSE)</f>
        <v>-21</v>
      </c>
      <c r="R145" s="55"/>
      <c r="S145" s="78">
        <f>U145-(VLOOKUP($B145,Şablon!$E$3:$Q$255,11,FALSE)+VLOOKUP($B145,Şablon!$E$3:$Q$255,12,FALSE))</f>
        <v>-14</v>
      </c>
      <c r="T145" s="55"/>
      <c r="U145" s="57"/>
      <c r="V145" s="55"/>
      <c r="W145" s="59"/>
      <c r="X145" s="60"/>
      <c r="Y145" s="60"/>
      <c r="Z145" s="60"/>
      <c r="AA145" s="60"/>
      <c r="AB145" s="60"/>
      <c r="AC145" s="136"/>
    </row>
    <row r="146" spans="2:29" ht="19.8" customHeight="1" x14ac:dyDescent="0.3">
      <c r="B146" s="65" t="str">
        <f>Şablon!E145</f>
        <v>IHL.3028.140/1</v>
      </c>
      <c r="C146" s="79" t="str">
        <f>VLOOKUP($B146,Şablon!$E$3:$Q$255,2,FALSE)</f>
        <v>35.01.00 ASANSÖR İŞLERİ</v>
      </c>
      <c r="D146" s="88"/>
      <c r="E146" s="79" t="str">
        <f>VLOOKUP($B146,Şablon!$E$3:$Q$255,3,FALSE)</f>
        <v>A KATEGORİ</v>
      </c>
      <c r="F146" s="80" t="str">
        <f>VLOOKUP($B146,Şablon!$E$3:$Q$255,4,FALSE)</f>
        <v>ELK</v>
      </c>
      <c r="G146" s="81">
        <f>I146-VLOOKUP($B146,Şablon!$E$3:$Q$255,5,FALSE)</f>
        <v>-103</v>
      </c>
      <c r="H146" s="56"/>
      <c r="I146" s="81">
        <f>K146-VLOOKUP($B146,Şablon!$E$3:$Q$255,6,FALSE)</f>
        <v>-103</v>
      </c>
      <c r="J146" s="56"/>
      <c r="K146" s="81">
        <f>M146-VLOOKUP($B146,Şablon!$E$3:$Q$255,7,FALSE)</f>
        <v>-89</v>
      </c>
      <c r="L146" s="56"/>
      <c r="M146" s="81">
        <f>O146-VLOOKUP($B146,Şablon!$E$3:$Q$255,8,FALSE)</f>
        <v>-68</v>
      </c>
      <c r="N146" s="56"/>
      <c r="O146" s="81">
        <f>Q146-VLOOKUP($B146,Şablon!$E$3:$Q$255,9,FALSE)</f>
        <v>-38</v>
      </c>
      <c r="P146" s="56"/>
      <c r="Q146" s="81">
        <f>S146-VLOOKUP($B146,Şablon!$E$3:$Q$255,10,FALSE)</f>
        <v>-28</v>
      </c>
      <c r="R146" s="56"/>
      <c r="S146" s="81">
        <f>U146-(VLOOKUP($B146,Şablon!$E$3:$Q$255,11,FALSE)+VLOOKUP($B146,Şablon!$E$3:$Q$255,12,FALSE))</f>
        <v>-14</v>
      </c>
      <c r="T146" s="56"/>
      <c r="U146" s="58"/>
      <c r="V146" s="56"/>
      <c r="W146" s="62"/>
      <c r="X146" s="63"/>
      <c r="Y146" s="63"/>
      <c r="Z146" s="63"/>
      <c r="AA146" s="63"/>
      <c r="AB146" s="63"/>
      <c r="AC146" s="137"/>
    </row>
    <row r="147" spans="2:29" ht="19.8" customHeight="1" x14ac:dyDescent="0.3">
      <c r="B147" s="82"/>
      <c r="G147" s="83"/>
      <c r="H147" s="83"/>
      <c r="I147" s="83"/>
      <c r="J147" s="83"/>
      <c r="K147" s="84"/>
      <c r="L147" s="84"/>
      <c r="M147" s="84"/>
      <c r="N147" s="83"/>
      <c r="O147" s="83"/>
      <c r="P147" s="83"/>
      <c r="Q147" s="83"/>
      <c r="R147" s="83"/>
      <c r="S147" s="83"/>
      <c r="T147" s="83"/>
      <c r="U147" s="85"/>
      <c r="V147" s="85"/>
      <c r="W147" s="86"/>
      <c r="X147" s="86"/>
      <c r="Y147" s="86"/>
      <c r="Z147" s="86"/>
      <c r="AA147" s="86"/>
      <c r="AB147" s="86"/>
      <c r="AC147" s="86"/>
    </row>
  </sheetData>
  <sheetProtection algorithmName="SHA-512" hashValue="BGiNVf9AGG7Rfsw4IiTwAe0LawzlkNQ2hfmvZn2C9Ff6Wr3pqBbE815OXi4/tRfYN5gBnnQhs8vPH/qGe3Eq6g==" saltValue="5j2zZamY1N9HR6v+XRpNSg==" spinCount="100000" sheet="1" formatCells="0" formatRows="0" insertRows="0" insertHyperlinks="0" deleteRows="0" sort="0" autoFilter="0" pivotTables="0"/>
  <autoFilter ref="B3:AC3" xr:uid="{098148EA-0D32-4261-A533-FDBC4C0F901C}"/>
  <mergeCells count="20">
    <mergeCell ref="AB2:AB3"/>
    <mergeCell ref="B2:B3"/>
    <mergeCell ref="C2:C3"/>
    <mergeCell ref="I2:J2"/>
    <mergeCell ref="G2:H2"/>
    <mergeCell ref="Y2:Y3"/>
    <mergeCell ref="S2:T2"/>
    <mergeCell ref="W2:W3"/>
    <mergeCell ref="X2:X3"/>
    <mergeCell ref="U2:V2"/>
    <mergeCell ref="Q2:R2"/>
    <mergeCell ref="O2:P2"/>
    <mergeCell ref="K2:L2"/>
    <mergeCell ref="M2:N2"/>
    <mergeCell ref="D2:D3"/>
    <mergeCell ref="AC2:AC3"/>
    <mergeCell ref="AA2:AA3"/>
    <mergeCell ref="Z2:Z3"/>
    <mergeCell ref="F2:F3"/>
    <mergeCell ref="E2:E3"/>
  </mergeCells>
  <conditionalFormatting sqref="B146:C146">
    <cfRule type="duplicateValues" dxfId="3" priority="1"/>
  </conditionalFormatting>
  <conditionalFormatting sqref="B4:C145">
    <cfRule type="duplicateValues" dxfId="2" priority="132"/>
  </conditionalFormatting>
  <pageMargins left="0.7" right="0.7" top="0.75" bottom="0.75" header="0.3" footer="0.3"/>
  <pageSetup paperSize="9" orientation="portrait" r:id="rId1"/>
  <ignoredErrors>
    <ignoredError sqref="B4:B146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CE0BE1-BD7D-4A2C-B1E6-15C6E6526A7D}">
          <x14:formula1>
            <xm:f>Referans!$D$3:$D$12</xm:f>
          </x14:formula1>
          <xm:sqref>B1</xm:sqref>
        </x14:dataValidation>
        <x14:dataValidation type="list" allowBlank="1" showInputMessage="1" showErrorMessage="1" xr:uid="{6BB5F7FA-80FF-4372-8B9C-291CA30D23DD}">
          <x14:formula1>
            <xm:f>Referans!$E$3:$E$144</xm:f>
          </x14:formula1>
          <xm:sqref>C4:C146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FD66-30E3-47AF-B757-280C6291F60B}">
  <dimension ref="B1:AQ147"/>
  <sheetViews>
    <sheetView zoomScale="70" zoomScaleNormal="70" workbookViewId="0">
      <pane xSplit="3" ySplit="3" topLeftCell="D122" activePane="bottomRight" state="frozen"/>
      <selection pane="topRight" activeCell="D1" sqref="D1"/>
      <selection pane="bottomLeft" activeCell="A4" sqref="A4"/>
      <selection pane="bottomRight" activeCell="B4" sqref="B4:AQ146"/>
    </sheetView>
  </sheetViews>
  <sheetFormatPr defaultRowHeight="14.4" x14ac:dyDescent="0.3"/>
  <cols>
    <col min="1" max="1" width="5.69921875" style="20" customWidth="1"/>
    <col min="2" max="2" width="15.69921875" style="20" customWidth="1"/>
    <col min="3" max="4" width="45.69921875" style="20" customWidth="1"/>
    <col min="5" max="6" width="10.69921875" style="20" customWidth="1"/>
    <col min="7" max="7" width="12.69921875" style="20" customWidth="1"/>
    <col min="8" max="8" width="13.69921875" style="20" customWidth="1"/>
    <col min="9" max="9" width="12.69921875" style="20" customWidth="1"/>
    <col min="10" max="10" width="13.69921875" style="20" customWidth="1"/>
    <col min="11" max="11" width="12.69921875" style="20" customWidth="1"/>
    <col min="12" max="12" width="13.69921875" style="20" customWidth="1"/>
    <col min="13" max="13" width="12.69921875" style="20" customWidth="1"/>
    <col min="14" max="14" width="13.69921875" style="20" customWidth="1"/>
    <col min="15" max="15" width="12.69921875" style="67" customWidth="1"/>
    <col min="16" max="16" width="13.69921875" style="67" customWidth="1"/>
    <col min="17" max="17" width="12.69921875" style="67" customWidth="1"/>
    <col min="18" max="18" width="13.69921875" style="67" customWidth="1"/>
    <col min="19" max="19" width="12.69921875" style="67" customWidth="1"/>
    <col min="20" max="20" width="13.69921875" style="67" customWidth="1"/>
    <col min="21" max="21" width="12.69921875" style="67" customWidth="1"/>
    <col min="22" max="22" width="13.69921875" style="20" customWidth="1"/>
    <col min="23" max="23" width="12.69921875" style="20" customWidth="1"/>
    <col min="24" max="24" width="13.796875" style="20" customWidth="1"/>
    <col min="25" max="25" width="12.69921875" style="20" customWidth="1"/>
    <col min="26" max="26" width="13.69921875" style="20" customWidth="1"/>
    <col min="27" max="27" width="12.69921875" style="20" customWidth="1"/>
    <col min="28" max="28" width="13.69921875" style="20" customWidth="1"/>
    <col min="29" max="29" width="12.69921875" style="20" customWidth="1"/>
    <col min="30" max="30" width="13.69921875" style="20" customWidth="1"/>
    <col min="31" max="31" width="12.69921875" style="20" customWidth="1"/>
    <col min="32" max="32" width="13.69921875" style="20" customWidth="1"/>
    <col min="33" max="33" width="12.69921875" style="20" customWidth="1"/>
    <col min="34" max="36" width="13.69921875" style="20" customWidth="1"/>
    <col min="37" max="37" width="15.69921875" style="20" customWidth="1"/>
    <col min="38" max="38" width="30.69921875" style="20" customWidth="1"/>
    <col min="39" max="43" width="15.69921875" style="20" customWidth="1"/>
    <col min="44" max="16384" width="8.796875" style="20"/>
  </cols>
  <sheetData>
    <row r="1" spans="2:43" ht="19.95" customHeight="1" x14ac:dyDescent="0.3">
      <c r="B1" s="116" t="str">
        <f>'Satınalma Takvimi Veri Girişi'!B1</f>
        <v>3028 - MONA</v>
      </c>
      <c r="C1" s="66"/>
      <c r="D1" s="138"/>
      <c r="E1" s="66"/>
      <c r="F1" s="66"/>
      <c r="AI1" s="66"/>
      <c r="AJ1" s="66"/>
      <c r="AK1" s="66"/>
      <c r="AL1" s="66"/>
      <c r="AM1" s="66"/>
      <c r="AN1" s="66"/>
      <c r="AO1" s="66"/>
      <c r="AP1" s="66"/>
      <c r="AQ1" s="66"/>
    </row>
    <row r="2" spans="2:43" s="30" customFormat="1" ht="30" customHeight="1" x14ac:dyDescent="0.3">
      <c r="B2" s="89" t="s">
        <v>1</v>
      </c>
      <c r="C2" s="90" t="s">
        <v>249</v>
      </c>
      <c r="D2" s="90" t="s">
        <v>349</v>
      </c>
      <c r="E2" s="90" t="s">
        <v>242</v>
      </c>
      <c r="F2" s="91" t="s">
        <v>243</v>
      </c>
      <c r="G2" s="68" t="s">
        <v>95</v>
      </c>
      <c r="H2" s="122"/>
      <c r="I2" s="122"/>
      <c r="J2" s="69"/>
      <c r="K2" s="70" t="s">
        <v>91</v>
      </c>
      <c r="L2" s="126"/>
      <c r="M2" s="126"/>
      <c r="N2" s="71"/>
      <c r="O2" s="72" t="s">
        <v>93</v>
      </c>
      <c r="P2" s="124"/>
      <c r="Q2" s="124"/>
      <c r="R2" s="73"/>
      <c r="S2" s="92" t="s">
        <v>92</v>
      </c>
      <c r="T2" s="134"/>
      <c r="U2" s="134"/>
      <c r="V2" s="93"/>
      <c r="W2" s="94" t="s">
        <v>94</v>
      </c>
      <c r="X2" s="132"/>
      <c r="Y2" s="132"/>
      <c r="Z2" s="95"/>
      <c r="AA2" s="96" t="s">
        <v>89</v>
      </c>
      <c r="AB2" s="130"/>
      <c r="AC2" s="130"/>
      <c r="AD2" s="97"/>
      <c r="AE2" s="98" t="s">
        <v>90</v>
      </c>
      <c r="AF2" s="128"/>
      <c r="AG2" s="128"/>
      <c r="AH2" s="99"/>
      <c r="AI2" s="70" t="s">
        <v>248</v>
      </c>
      <c r="AJ2" s="71"/>
      <c r="AK2" s="89" t="s">
        <v>96</v>
      </c>
      <c r="AL2" s="90" t="s">
        <v>3</v>
      </c>
      <c r="AM2" s="90" t="s">
        <v>97</v>
      </c>
      <c r="AN2" s="90" t="s">
        <v>238</v>
      </c>
      <c r="AO2" s="90" t="s">
        <v>239</v>
      </c>
      <c r="AP2" s="90" t="s">
        <v>240</v>
      </c>
      <c r="AQ2" s="91" t="s">
        <v>359</v>
      </c>
    </row>
    <row r="3" spans="2:43" s="30" customFormat="1" ht="30" customHeight="1" x14ac:dyDescent="0.3">
      <c r="B3" s="100"/>
      <c r="C3" s="101"/>
      <c r="D3" s="101"/>
      <c r="E3" s="101"/>
      <c r="F3" s="102"/>
      <c r="G3" s="103" t="s">
        <v>354</v>
      </c>
      <c r="H3" s="123" t="s">
        <v>355</v>
      </c>
      <c r="I3" s="123" t="s">
        <v>356</v>
      </c>
      <c r="J3" s="104" t="s">
        <v>357</v>
      </c>
      <c r="K3" s="105" t="s">
        <v>354</v>
      </c>
      <c r="L3" s="127" t="s">
        <v>355</v>
      </c>
      <c r="M3" s="127" t="s">
        <v>356</v>
      </c>
      <c r="N3" s="106" t="s">
        <v>357</v>
      </c>
      <c r="O3" s="74" t="s">
        <v>354</v>
      </c>
      <c r="P3" s="125" t="s">
        <v>355</v>
      </c>
      <c r="Q3" s="125" t="s">
        <v>356</v>
      </c>
      <c r="R3" s="107" t="s">
        <v>357</v>
      </c>
      <c r="S3" s="108" t="s">
        <v>354</v>
      </c>
      <c r="T3" s="135" t="s">
        <v>355</v>
      </c>
      <c r="U3" s="135" t="s">
        <v>356</v>
      </c>
      <c r="V3" s="109" t="s">
        <v>357</v>
      </c>
      <c r="W3" s="110" t="s">
        <v>354</v>
      </c>
      <c r="X3" s="133" t="s">
        <v>355</v>
      </c>
      <c r="Y3" s="133" t="s">
        <v>356</v>
      </c>
      <c r="Z3" s="111" t="s">
        <v>357</v>
      </c>
      <c r="AA3" s="112" t="s">
        <v>354</v>
      </c>
      <c r="AB3" s="131" t="s">
        <v>355</v>
      </c>
      <c r="AC3" s="131" t="s">
        <v>356</v>
      </c>
      <c r="AD3" s="113" t="s">
        <v>357</v>
      </c>
      <c r="AE3" s="114" t="s">
        <v>354</v>
      </c>
      <c r="AF3" s="129" t="s">
        <v>355</v>
      </c>
      <c r="AG3" s="129" t="s">
        <v>356</v>
      </c>
      <c r="AH3" s="115" t="s">
        <v>357</v>
      </c>
      <c r="AI3" s="105" t="s">
        <v>87</v>
      </c>
      <c r="AJ3" s="106" t="s">
        <v>88</v>
      </c>
      <c r="AK3" s="100"/>
      <c r="AL3" s="101"/>
      <c r="AM3" s="101"/>
      <c r="AN3" s="101"/>
      <c r="AO3" s="101"/>
      <c r="AP3" s="101"/>
      <c r="AQ3" s="102"/>
    </row>
    <row r="4" spans="2:43" ht="19.95" customHeight="1" x14ac:dyDescent="0.3">
      <c r="B4" s="64" t="str">
        <f>Şablon!E3</f>
        <v>IHL.3028.001/1</v>
      </c>
      <c r="C4" s="139" t="str">
        <f>VLOOKUP($B4,Şablon!$E$3:$Q$255,2,FALSE)</f>
        <v>09.01.00 YIKIM İŞLERİ</v>
      </c>
      <c r="D4" s="161" t="str">
        <f>IF(VLOOKUP($B4,'Satınalma Takvimi Veri Girişi'!$B$4:$AC$146,3,FALSE)&lt;&gt;"",VLOOKUP($B4,'Satınalma Takvimi Veri Girişi'!$B$4:$AC$146,3,FALSE),"")</f>
        <v/>
      </c>
      <c r="E4" s="139" t="str">
        <f>VLOOKUP($B4,Şablon!$E$3:$Q$255,3,FALSE)</f>
        <v>B KATEGORİ</v>
      </c>
      <c r="F4" s="140" t="str">
        <f>VLOOKUP($B4,Şablon!$E$3:$Q$255,4,FALSE)</f>
        <v>İNŞ</v>
      </c>
      <c r="G4" s="141">
        <f>VLOOKUP($B4,Şablon!$E$3:$Q$255,5,FALSE)</f>
        <v>0</v>
      </c>
      <c r="H4" s="142" t="str">
        <f>IFERROR(L4-G4,"")</f>
        <v/>
      </c>
      <c r="I4" s="143" t="str">
        <f>IFERROR(N4-J4,"")</f>
        <v/>
      </c>
      <c r="J4" s="144" t="str">
        <f>IF(VLOOKUP($B4,'Satınalma Takvimi Veri Girişi'!$B$4:$AC$146,7,FALSE)&lt;&gt;"",VLOOKUP($B4,'Satınalma Takvimi Veri Girişi'!$B$4:$AC$146,7,FALSE),"")</f>
        <v/>
      </c>
      <c r="K4" s="141">
        <f>VLOOKUP($B4,Şablon!$E$3:$Q$255,6,FALSE)</f>
        <v>14</v>
      </c>
      <c r="L4" s="142" t="str">
        <f>IFERROR(P4-K4,"")</f>
        <v/>
      </c>
      <c r="M4" s="143" t="str">
        <f>IFERROR(R4-N4,"")</f>
        <v/>
      </c>
      <c r="N4" s="144" t="str">
        <f>IF(VLOOKUP($B4,'Satınalma Takvimi Veri Girişi'!$B$4:$AC$146,9,FALSE)&lt;&gt;"",VLOOKUP($B4,'Satınalma Takvimi Veri Girişi'!$B$4:$AC$146,9,FALSE),"")</f>
        <v/>
      </c>
      <c r="O4" s="141">
        <f>VLOOKUP($B4,Şablon!$E$3:$Q$255,7,FALSE)</f>
        <v>7</v>
      </c>
      <c r="P4" s="142" t="str">
        <f>IFERROR(T4-O4,"")</f>
        <v/>
      </c>
      <c r="Q4" s="143" t="str">
        <f>IFERROR(V4-R4,"")</f>
        <v/>
      </c>
      <c r="R4" s="144" t="str">
        <f>IF(VLOOKUP($B4,'Satınalma Takvimi Veri Girişi'!$B$4:$AC$146,11,FALSE)&lt;&gt;"",VLOOKUP($B4,'Satınalma Takvimi Veri Girişi'!$B$4:$AC$146,11,FALSE),"")</f>
        <v/>
      </c>
      <c r="S4" s="141">
        <f>VLOOKUP($B4,Şablon!$E$3:$Q$255,8,FALSE)</f>
        <v>14</v>
      </c>
      <c r="T4" s="142" t="str">
        <f>IFERROR(X4-S4,"")</f>
        <v/>
      </c>
      <c r="U4" s="143" t="str">
        <f>IFERROR(Z4-V4,"")</f>
        <v/>
      </c>
      <c r="V4" s="144" t="str">
        <f>IF(VLOOKUP($B4,'Satınalma Takvimi Veri Girişi'!$B$4:$AC$146,13,FALSE)&lt;&gt;"",VLOOKUP($B4,'Satınalma Takvimi Veri Girişi'!$B$4:$AC$146,13,FALSE),"")</f>
        <v/>
      </c>
      <c r="W4" s="141">
        <f>VLOOKUP($B4,Şablon!$E$3:$Q$255,9,FALSE)</f>
        <v>7</v>
      </c>
      <c r="X4" s="142" t="str">
        <f>IFERROR(AB4-W4,"")</f>
        <v/>
      </c>
      <c r="Y4" s="143" t="str">
        <f>IFERROR(AD4-Z4,"")</f>
        <v/>
      </c>
      <c r="Z4" s="144" t="str">
        <f>IF(VLOOKUP($B4,'Satınalma Takvimi Veri Girişi'!$B$4:$AC$146,15,FALSE)&lt;&gt;"",VLOOKUP($B4,'Satınalma Takvimi Veri Girişi'!$B$4:$AC$146,15,FALSE),"")</f>
        <v/>
      </c>
      <c r="AA4" s="141">
        <f>VLOOKUP($B4,Şablon!$E$3:$Q$255,10,FALSE)</f>
        <v>7</v>
      </c>
      <c r="AB4" s="142" t="str">
        <f>IFERROR(AF4-AA4,"")</f>
        <v/>
      </c>
      <c r="AC4" s="143" t="str">
        <f>IFERROR(AH4-AD4,"")</f>
        <v/>
      </c>
      <c r="AD4" s="144" t="str">
        <f>IF(VLOOKUP($B4,'Satınalma Takvimi Veri Girişi'!$B$4:$AC$146,17,FALSE)&lt;&gt;"",VLOOKUP($B4,'Satınalma Takvimi Veri Girişi'!$B$4:$AC$146,17,FALSE),"")</f>
        <v/>
      </c>
      <c r="AE4" s="141">
        <f>(VLOOKUP($B4,Şablon!$E$3:$Q$255,11,FALSE)+VLOOKUP($B4,Şablon!$E$3:$Q$255,12,FALSE))</f>
        <v>7</v>
      </c>
      <c r="AF4" s="142" t="str">
        <f>IFERROR(AI4-AE4,"")</f>
        <v/>
      </c>
      <c r="AG4" s="143" t="str">
        <f>IFERROR(AJ4-AH4,"")</f>
        <v/>
      </c>
      <c r="AH4" s="144" t="str">
        <f>IF(VLOOKUP($B4,'Satınalma Takvimi Veri Girişi'!$B$4:$AC$146,19,FALSE)&lt;&gt;"",VLOOKUP($B4,'Satınalma Takvimi Veri Girişi'!$B$4:$AC$146,19,FALSE),"")</f>
        <v/>
      </c>
      <c r="AI4" s="145" t="str">
        <f>IF(VLOOKUP($B4,'Satınalma Takvimi Veri Girişi'!$B$4:$AC$146,20,FALSE)&lt;&gt;"",VLOOKUP($B4,'Satınalma Takvimi Veri Girişi'!$B$4:$AC$146,20,FALSE),"")</f>
        <v/>
      </c>
      <c r="AJ4" s="144" t="str">
        <f>IF(VLOOKUP($B4,'Satınalma Takvimi Veri Girişi'!$B$4:$AC$146,21,FALSE)&lt;&gt;"",VLOOKUP($B4,'Satınalma Takvimi Veri Girişi'!$B$4:$AC$146,21,FALSE),"")</f>
        <v/>
      </c>
      <c r="AK4" s="146" t="str">
        <f>IF(VLOOKUP($B4,'Satınalma Takvimi Veri Girişi'!$B$4:$AC$146,22,FALSE)&lt;&gt;"",VLOOKUP($B4,'Satınalma Takvimi Veri Girişi'!$B$4:$AC$146,22,FALSE),"")</f>
        <v/>
      </c>
      <c r="AL4" s="147" t="str">
        <f>IF(VLOOKUP($B4,'Satınalma Takvimi Veri Girişi'!$B$4:$AC$146,23,FALSE)&lt;&gt;"",VLOOKUP($B4,'Satınalma Takvimi Veri Girişi'!$B$4:$AC$146,23,FALSE),"")</f>
        <v/>
      </c>
      <c r="AM4" s="147" t="str">
        <f>IF(VLOOKUP($B4,'Satınalma Takvimi Veri Girişi'!$B$4:$AC$146,24,FALSE)&lt;&gt;"",VLOOKUP($B4,'Satınalma Takvimi Veri Girişi'!$B$4:$AC$146,24,FALSE),"")</f>
        <v/>
      </c>
      <c r="AN4" s="147" t="str">
        <f>IF(VLOOKUP($B4,'Satınalma Takvimi Veri Girişi'!$B$4:$AC$146,25,FALSE)&lt;&gt;"",VLOOKUP($B4,'Satınalma Takvimi Veri Girişi'!$B$4:$AC$146,25,FALSE),"")</f>
        <v/>
      </c>
      <c r="AO4" s="147" t="str">
        <f>IF(VLOOKUP($B4,'Satınalma Takvimi Veri Girişi'!$B$4:$AC$146,26,FALSE)&lt;&gt;"",VLOOKUP($B4,'Satınalma Takvimi Veri Girişi'!$B$4:$AC$146,26,FALSE),"")</f>
        <v/>
      </c>
      <c r="AP4" s="147" t="str">
        <f>IF(VLOOKUP($B4,'Satınalma Takvimi Veri Girişi'!$B$4:$AC$146,27,FALSE)&lt;&gt;"",VLOOKUP($B4,'Satınalma Takvimi Veri Girişi'!$B$4:$AC$146,27,FALSE),"")</f>
        <v/>
      </c>
      <c r="AQ4" s="148" t="str">
        <f>IF(VLOOKUP($B4,'Satınalma Takvimi Veri Girişi'!$B$4:$AC$146,28,FALSE)&lt;&gt;"",VLOOKUP($B4,'Satınalma Takvimi Veri Girişi'!$B$4:$AC$146,28,FALSE),"")</f>
        <v/>
      </c>
    </row>
    <row r="5" spans="2:43" ht="19.95" customHeight="1" x14ac:dyDescent="0.3">
      <c r="B5" s="64" t="str">
        <f>Şablon!E4</f>
        <v>IHL.3028.002/1</v>
      </c>
      <c r="C5" s="139" t="str">
        <f>VLOOKUP($B5,Şablon!$E$3:$Q$255,2,FALSE)</f>
        <v>05.03.00 ZEMİN ETÜDÜ</v>
      </c>
      <c r="D5" s="161" t="str">
        <f>IF(VLOOKUP($B5,'Satınalma Takvimi Veri Girişi'!$B$4:$AC$146,3,FALSE)&lt;&gt;"",VLOOKUP($B5,'Satınalma Takvimi Veri Girişi'!$B$4:$AC$146,3,FALSE),"")</f>
        <v/>
      </c>
      <c r="E5" s="139" t="str">
        <f>VLOOKUP($B5,Şablon!$E$3:$Q$255,3,FALSE)</f>
        <v>C KATEGORİ</v>
      </c>
      <c r="F5" s="140" t="str">
        <f>VLOOKUP($B5,Şablon!$E$3:$Q$255,4,FALSE)</f>
        <v>İNŞ</v>
      </c>
      <c r="G5" s="141">
        <f>VLOOKUP($B5,Şablon!$E$3:$Q$255,5,FALSE)</f>
        <v>0</v>
      </c>
      <c r="H5" s="142" t="str">
        <f t="shared" ref="H5:H68" si="0">IFERROR(L5-G5,"")</f>
        <v/>
      </c>
      <c r="I5" s="143" t="str">
        <f t="shared" ref="I5:I68" si="1">IFERROR(N5-J5,"")</f>
        <v/>
      </c>
      <c r="J5" s="144" t="str">
        <f>IF(VLOOKUP($B5,'Satınalma Takvimi Veri Girişi'!$B$4:$AC$146,7,FALSE)&lt;&gt;"",VLOOKUP($B5,'Satınalma Takvimi Veri Girişi'!$B$4:$AC$146,7,FALSE),"")</f>
        <v/>
      </c>
      <c r="K5" s="141">
        <f>VLOOKUP($B5,Şablon!$E$3:$Q$255,6,FALSE)</f>
        <v>14</v>
      </c>
      <c r="L5" s="142" t="str">
        <f t="shared" ref="L5:L68" si="2">IFERROR(P5-K5,"")</f>
        <v/>
      </c>
      <c r="M5" s="143" t="str">
        <f t="shared" ref="M5:M68" si="3">IFERROR(R5-N5,"")</f>
        <v/>
      </c>
      <c r="N5" s="144" t="str">
        <f>IF(VLOOKUP($B5,'Satınalma Takvimi Veri Girişi'!$B$4:$AC$146,9,FALSE)&lt;&gt;"",VLOOKUP($B5,'Satınalma Takvimi Veri Girişi'!$B$4:$AC$146,9,FALSE),"")</f>
        <v/>
      </c>
      <c r="O5" s="141">
        <f>VLOOKUP($B5,Şablon!$E$3:$Q$255,7,FALSE)</f>
        <v>7</v>
      </c>
      <c r="P5" s="142" t="str">
        <f t="shared" ref="P5:P68" si="4">IFERROR(T5-O5,"")</f>
        <v/>
      </c>
      <c r="Q5" s="143" t="str">
        <f t="shared" ref="Q5:Q68" si="5">IFERROR(V5-R5,"")</f>
        <v/>
      </c>
      <c r="R5" s="144" t="str">
        <f>IF(VLOOKUP($B5,'Satınalma Takvimi Veri Girişi'!$B$4:$AC$146,11,FALSE)&lt;&gt;"",VLOOKUP($B5,'Satınalma Takvimi Veri Girişi'!$B$4:$AC$146,11,FALSE),"")</f>
        <v/>
      </c>
      <c r="S5" s="141">
        <f>VLOOKUP($B5,Şablon!$E$3:$Q$255,8,FALSE)</f>
        <v>14</v>
      </c>
      <c r="T5" s="142" t="str">
        <f t="shared" ref="T5:T68" si="6">IFERROR(X5-S5,"")</f>
        <v/>
      </c>
      <c r="U5" s="143" t="str">
        <f t="shared" ref="U5:U68" si="7">IFERROR(Z5-V5,"")</f>
        <v/>
      </c>
      <c r="V5" s="144" t="str">
        <f>IF(VLOOKUP($B5,'Satınalma Takvimi Veri Girişi'!$B$4:$AC$146,13,FALSE)&lt;&gt;"",VLOOKUP($B5,'Satınalma Takvimi Veri Girişi'!$B$4:$AC$146,13,FALSE),"")</f>
        <v/>
      </c>
      <c r="W5" s="141">
        <f>VLOOKUP($B5,Şablon!$E$3:$Q$255,9,FALSE)</f>
        <v>7</v>
      </c>
      <c r="X5" s="142" t="str">
        <f t="shared" ref="X5:X68" si="8">IFERROR(AB5-W5,"")</f>
        <v/>
      </c>
      <c r="Y5" s="143" t="str">
        <f t="shared" ref="Y5:Y68" si="9">IFERROR(AD5-Z5,"")</f>
        <v/>
      </c>
      <c r="Z5" s="144" t="str">
        <f>IF(VLOOKUP($B5,'Satınalma Takvimi Veri Girişi'!$B$4:$AC$146,15,FALSE)&lt;&gt;"",VLOOKUP($B5,'Satınalma Takvimi Veri Girişi'!$B$4:$AC$146,15,FALSE),"")</f>
        <v/>
      </c>
      <c r="AA5" s="141">
        <f>VLOOKUP($B5,Şablon!$E$3:$Q$255,10,FALSE)</f>
        <v>7</v>
      </c>
      <c r="AB5" s="142" t="str">
        <f t="shared" ref="AB5:AB68" si="10">IFERROR(AF5-AA5,"")</f>
        <v/>
      </c>
      <c r="AC5" s="143" t="str">
        <f t="shared" ref="AC5:AC68" si="11">IFERROR(AH5-AD5,"")</f>
        <v/>
      </c>
      <c r="AD5" s="144" t="str">
        <f>IF(VLOOKUP($B5,'Satınalma Takvimi Veri Girişi'!$B$4:$AC$146,17,FALSE)&lt;&gt;"",VLOOKUP($B5,'Satınalma Takvimi Veri Girişi'!$B$4:$AC$146,17,FALSE),"")</f>
        <v/>
      </c>
      <c r="AE5" s="141">
        <f>(VLOOKUP($B5,Şablon!$E$3:$Q$255,11,FALSE)+VLOOKUP($B5,Şablon!$E$3:$Q$255,12,FALSE))</f>
        <v>7</v>
      </c>
      <c r="AF5" s="142" t="str">
        <f t="shared" ref="AF5:AF68" si="12">IFERROR(AI5-AE5,"")</f>
        <v/>
      </c>
      <c r="AG5" s="143" t="str">
        <f t="shared" ref="AG5:AG68" si="13">IFERROR(AJ5-AH5,"")</f>
        <v/>
      </c>
      <c r="AH5" s="144" t="str">
        <f>IF(VLOOKUP($B5,'Satınalma Takvimi Veri Girişi'!$B$4:$AC$146,19,FALSE)&lt;&gt;"",VLOOKUP($B5,'Satınalma Takvimi Veri Girişi'!$B$4:$AC$146,19,FALSE),"")</f>
        <v/>
      </c>
      <c r="AI5" s="145" t="str">
        <f>IF(VLOOKUP($B5,'Satınalma Takvimi Veri Girişi'!$B$4:$AC$146,20,FALSE)&lt;&gt;"",VLOOKUP($B5,'Satınalma Takvimi Veri Girişi'!$B$4:$AC$146,20,FALSE),"")</f>
        <v/>
      </c>
      <c r="AJ5" s="144" t="str">
        <f>IF(VLOOKUP($B5,'Satınalma Takvimi Veri Girişi'!$B$4:$AC$146,21,FALSE)&lt;&gt;"",VLOOKUP($B5,'Satınalma Takvimi Veri Girişi'!$B$4:$AC$146,21,FALSE),"")</f>
        <v/>
      </c>
      <c r="AK5" s="146" t="str">
        <f>IF(VLOOKUP($B5,'Satınalma Takvimi Veri Girişi'!$B$4:$AC$146,22,FALSE)&lt;&gt;"",VLOOKUP($B5,'Satınalma Takvimi Veri Girişi'!$B$4:$AC$146,22,FALSE),"")</f>
        <v/>
      </c>
      <c r="AL5" s="147" t="str">
        <f>IF(VLOOKUP($B5,'Satınalma Takvimi Veri Girişi'!$B$4:$AC$146,23,FALSE)&lt;&gt;"",VLOOKUP($B5,'Satınalma Takvimi Veri Girişi'!$B$4:$AC$146,23,FALSE),"")</f>
        <v/>
      </c>
      <c r="AM5" s="147" t="str">
        <f>IF(VLOOKUP($B5,'Satınalma Takvimi Veri Girişi'!$B$4:$AC$146,24,FALSE)&lt;&gt;"",VLOOKUP($B5,'Satınalma Takvimi Veri Girişi'!$B$4:$AC$146,24,FALSE),"")</f>
        <v/>
      </c>
      <c r="AN5" s="147" t="str">
        <f>IF(VLOOKUP($B5,'Satınalma Takvimi Veri Girişi'!$B$4:$AC$146,25,FALSE)&lt;&gt;"",VLOOKUP($B5,'Satınalma Takvimi Veri Girişi'!$B$4:$AC$146,25,FALSE),"")</f>
        <v/>
      </c>
      <c r="AO5" s="147" t="str">
        <f>IF(VLOOKUP($B5,'Satınalma Takvimi Veri Girişi'!$B$4:$AC$146,26,FALSE)&lt;&gt;"",VLOOKUP($B5,'Satınalma Takvimi Veri Girişi'!$B$4:$AC$146,26,FALSE),"")</f>
        <v/>
      </c>
      <c r="AP5" s="147" t="str">
        <f>IF(VLOOKUP($B5,'Satınalma Takvimi Veri Girişi'!$B$4:$AC$146,27,FALSE)&lt;&gt;"",VLOOKUP($B5,'Satınalma Takvimi Veri Girişi'!$B$4:$AC$146,27,FALSE),"")</f>
        <v/>
      </c>
      <c r="AQ5" s="148" t="str">
        <f>IF(VLOOKUP($B5,'Satınalma Takvimi Veri Girişi'!$B$4:$AC$146,28,FALSE)&lt;&gt;"",VLOOKUP($B5,'Satınalma Takvimi Veri Girişi'!$B$4:$AC$146,28,FALSE),"")</f>
        <v/>
      </c>
    </row>
    <row r="6" spans="2:43" ht="19.95" customHeight="1" x14ac:dyDescent="0.3">
      <c r="B6" s="64" t="str">
        <f>Şablon!E5</f>
        <v>IHL.3028.003/1</v>
      </c>
      <c r="C6" s="139" t="str">
        <f>VLOOKUP($B6,Şablon!$E$3:$Q$255,2,FALSE)</f>
        <v>01.18.00 OSGB İŞLERİ</v>
      </c>
      <c r="D6" s="161" t="str">
        <f>IF(VLOOKUP($B6,'Satınalma Takvimi Veri Girişi'!$B$4:$AC$146,3,FALSE)&lt;&gt;"",VLOOKUP($B6,'Satınalma Takvimi Veri Girişi'!$B$4:$AC$146,3,FALSE),"")</f>
        <v/>
      </c>
      <c r="E6" s="139" t="str">
        <f>VLOOKUP($B6,Şablon!$E$3:$Q$255,3,FALSE)</f>
        <v>C KATEGORİ</v>
      </c>
      <c r="F6" s="140" t="str">
        <f>VLOOKUP($B6,Şablon!$E$3:$Q$255,4,FALSE)</f>
        <v>İNŞ</v>
      </c>
      <c r="G6" s="141">
        <f>VLOOKUP($B6,Şablon!$E$3:$Q$255,5,FALSE)</f>
        <v>0</v>
      </c>
      <c r="H6" s="142" t="str">
        <f t="shared" si="0"/>
        <v/>
      </c>
      <c r="I6" s="143" t="str">
        <f t="shared" si="1"/>
        <v/>
      </c>
      <c r="J6" s="144" t="str">
        <f>IF(VLOOKUP($B6,'Satınalma Takvimi Veri Girişi'!$B$4:$AC$146,7,FALSE)&lt;&gt;"",VLOOKUP($B6,'Satınalma Takvimi Veri Girişi'!$B$4:$AC$146,7,FALSE),"")</f>
        <v/>
      </c>
      <c r="K6" s="141">
        <f>VLOOKUP($B6,Şablon!$E$3:$Q$255,6,FALSE)</f>
        <v>14</v>
      </c>
      <c r="L6" s="142" t="str">
        <f t="shared" si="2"/>
        <v/>
      </c>
      <c r="M6" s="143" t="str">
        <f t="shared" si="3"/>
        <v/>
      </c>
      <c r="N6" s="144" t="str">
        <f>IF(VLOOKUP($B6,'Satınalma Takvimi Veri Girişi'!$B$4:$AC$146,9,FALSE)&lt;&gt;"",VLOOKUP($B6,'Satınalma Takvimi Veri Girişi'!$B$4:$AC$146,9,FALSE),"")</f>
        <v/>
      </c>
      <c r="O6" s="141">
        <f>VLOOKUP($B6,Şablon!$E$3:$Q$255,7,FALSE)</f>
        <v>7</v>
      </c>
      <c r="P6" s="142" t="str">
        <f t="shared" si="4"/>
        <v/>
      </c>
      <c r="Q6" s="143" t="str">
        <f t="shared" si="5"/>
        <v/>
      </c>
      <c r="R6" s="144" t="str">
        <f>IF(VLOOKUP($B6,'Satınalma Takvimi Veri Girişi'!$B$4:$AC$146,11,FALSE)&lt;&gt;"",VLOOKUP($B6,'Satınalma Takvimi Veri Girişi'!$B$4:$AC$146,11,FALSE),"")</f>
        <v/>
      </c>
      <c r="S6" s="141">
        <f>VLOOKUP($B6,Şablon!$E$3:$Q$255,8,FALSE)</f>
        <v>14</v>
      </c>
      <c r="T6" s="142" t="str">
        <f t="shared" si="6"/>
        <v/>
      </c>
      <c r="U6" s="143" t="str">
        <f t="shared" si="7"/>
        <v/>
      </c>
      <c r="V6" s="144" t="str">
        <f>IF(VLOOKUP($B6,'Satınalma Takvimi Veri Girişi'!$B$4:$AC$146,13,FALSE)&lt;&gt;"",VLOOKUP($B6,'Satınalma Takvimi Veri Girişi'!$B$4:$AC$146,13,FALSE),"")</f>
        <v/>
      </c>
      <c r="W6" s="141">
        <f>VLOOKUP($B6,Şablon!$E$3:$Q$255,9,FALSE)</f>
        <v>7</v>
      </c>
      <c r="X6" s="142" t="str">
        <f t="shared" si="8"/>
        <v/>
      </c>
      <c r="Y6" s="143" t="str">
        <f t="shared" si="9"/>
        <v/>
      </c>
      <c r="Z6" s="144" t="str">
        <f>IF(VLOOKUP($B6,'Satınalma Takvimi Veri Girişi'!$B$4:$AC$146,15,FALSE)&lt;&gt;"",VLOOKUP($B6,'Satınalma Takvimi Veri Girişi'!$B$4:$AC$146,15,FALSE),"")</f>
        <v/>
      </c>
      <c r="AA6" s="141">
        <f>VLOOKUP($B6,Şablon!$E$3:$Q$255,10,FALSE)</f>
        <v>7</v>
      </c>
      <c r="AB6" s="142" t="str">
        <f t="shared" si="10"/>
        <v/>
      </c>
      <c r="AC6" s="143" t="str">
        <f t="shared" si="11"/>
        <v/>
      </c>
      <c r="AD6" s="144" t="str">
        <f>IF(VLOOKUP($B6,'Satınalma Takvimi Veri Girişi'!$B$4:$AC$146,17,FALSE)&lt;&gt;"",VLOOKUP($B6,'Satınalma Takvimi Veri Girişi'!$B$4:$AC$146,17,FALSE),"")</f>
        <v/>
      </c>
      <c r="AE6" s="141">
        <f>(VLOOKUP($B6,Şablon!$E$3:$Q$255,11,FALSE)+VLOOKUP($B6,Şablon!$E$3:$Q$255,12,FALSE))</f>
        <v>7</v>
      </c>
      <c r="AF6" s="142" t="str">
        <f t="shared" si="12"/>
        <v/>
      </c>
      <c r="AG6" s="143" t="str">
        <f t="shared" si="13"/>
        <v/>
      </c>
      <c r="AH6" s="144" t="str">
        <f>IF(VLOOKUP($B6,'Satınalma Takvimi Veri Girişi'!$B$4:$AC$146,19,FALSE)&lt;&gt;"",VLOOKUP($B6,'Satınalma Takvimi Veri Girişi'!$B$4:$AC$146,19,FALSE),"")</f>
        <v/>
      </c>
      <c r="AI6" s="145" t="str">
        <f>IF(VLOOKUP($B6,'Satınalma Takvimi Veri Girişi'!$B$4:$AC$146,20,FALSE)&lt;&gt;"",VLOOKUP($B6,'Satınalma Takvimi Veri Girişi'!$B$4:$AC$146,20,FALSE),"")</f>
        <v/>
      </c>
      <c r="AJ6" s="144" t="str">
        <f>IF(VLOOKUP($B6,'Satınalma Takvimi Veri Girişi'!$B$4:$AC$146,21,FALSE)&lt;&gt;"",VLOOKUP($B6,'Satınalma Takvimi Veri Girişi'!$B$4:$AC$146,21,FALSE),"")</f>
        <v/>
      </c>
      <c r="AK6" s="146" t="str">
        <f>IF(VLOOKUP($B6,'Satınalma Takvimi Veri Girişi'!$B$4:$AC$146,22,FALSE)&lt;&gt;"",VLOOKUP($B6,'Satınalma Takvimi Veri Girişi'!$B$4:$AC$146,22,FALSE),"")</f>
        <v/>
      </c>
      <c r="AL6" s="147" t="str">
        <f>IF(VLOOKUP($B6,'Satınalma Takvimi Veri Girişi'!$B$4:$AC$146,23,FALSE)&lt;&gt;"",VLOOKUP($B6,'Satınalma Takvimi Veri Girişi'!$B$4:$AC$146,23,FALSE),"")</f>
        <v/>
      </c>
      <c r="AM6" s="147" t="str">
        <f>IF(VLOOKUP($B6,'Satınalma Takvimi Veri Girişi'!$B$4:$AC$146,24,FALSE)&lt;&gt;"",VLOOKUP($B6,'Satınalma Takvimi Veri Girişi'!$B$4:$AC$146,24,FALSE),"")</f>
        <v/>
      </c>
      <c r="AN6" s="147" t="str">
        <f>IF(VLOOKUP($B6,'Satınalma Takvimi Veri Girişi'!$B$4:$AC$146,25,FALSE)&lt;&gt;"",VLOOKUP($B6,'Satınalma Takvimi Veri Girişi'!$B$4:$AC$146,25,FALSE),"")</f>
        <v/>
      </c>
      <c r="AO6" s="147" t="str">
        <f>IF(VLOOKUP($B6,'Satınalma Takvimi Veri Girişi'!$B$4:$AC$146,26,FALSE)&lt;&gt;"",VLOOKUP($B6,'Satınalma Takvimi Veri Girişi'!$B$4:$AC$146,26,FALSE),"")</f>
        <v/>
      </c>
      <c r="AP6" s="147" t="str">
        <f>IF(VLOOKUP($B6,'Satınalma Takvimi Veri Girişi'!$B$4:$AC$146,27,FALSE)&lt;&gt;"",VLOOKUP($B6,'Satınalma Takvimi Veri Girişi'!$B$4:$AC$146,27,FALSE),"")</f>
        <v/>
      </c>
      <c r="AQ6" s="148" t="str">
        <f>IF(VLOOKUP($B6,'Satınalma Takvimi Veri Girişi'!$B$4:$AC$146,28,FALSE)&lt;&gt;"",VLOOKUP($B6,'Satınalma Takvimi Veri Girişi'!$B$4:$AC$146,28,FALSE),"")</f>
        <v/>
      </c>
    </row>
    <row r="7" spans="2:43" ht="19.95" customHeight="1" x14ac:dyDescent="0.3">
      <c r="B7" s="64" t="str">
        <f>Şablon!E6</f>
        <v>IHL.3028.004/1</v>
      </c>
      <c r="C7" s="139" t="str">
        <f>VLOOKUP($B7,Şablon!$E$3:$Q$255,2,FALSE)</f>
        <v>07.01.00 MOBİLİZASYON İŞLERİ</v>
      </c>
      <c r="D7" s="161" t="str">
        <f>IF(VLOOKUP($B7,'Satınalma Takvimi Veri Girişi'!$B$4:$AC$146,3,FALSE)&lt;&gt;"",VLOOKUP($B7,'Satınalma Takvimi Veri Girişi'!$B$4:$AC$146,3,FALSE),"")</f>
        <v/>
      </c>
      <c r="E7" s="139" t="str">
        <f>VLOOKUP($B7,Şablon!$E$3:$Q$255,3,FALSE)</f>
        <v>C KATEGORİ</v>
      </c>
      <c r="F7" s="140" t="str">
        <f>VLOOKUP($B7,Şablon!$E$3:$Q$255,4,FALSE)</f>
        <v>İNŞ</v>
      </c>
      <c r="G7" s="141">
        <f>VLOOKUP($B7,Şablon!$E$3:$Q$255,5,FALSE)</f>
        <v>0</v>
      </c>
      <c r="H7" s="142" t="str">
        <f t="shared" si="0"/>
        <v/>
      </c>
      <c r="I7" s="143" t="str">
        <f t="shared" si="1"/>
        <v/>
      </c>
      <c r="J7" s="144" t="str">
        <f>IF(VLOOKUP($B7,'Satınalma Takvimi Veri Girişi'!$B$4:$AC$146,7,FALSE)&lt;&gt;"",VLOOKUP($B7,'Satınalma Takvimi Veri Girişi'!$B$4:$AC$146,7,FALSE),"")</f>
        <v/>
      </c>
      <c r="K7" s="141">
        <f>VLOOKUP($B7,Şablon!$E$3:$Q$255,6,FALSE)</f>
        <v>14</v>
      </c>
      <c r="L7" s="142" t="str">
        <f t="shared" si="2"/>
        <v/>
      </c>
      <c r="M7" s="143" t="str">
        <f t="shared" si="3"/>
        <v/>
      </c>
      <c r="N7" s="144" t="str">
        <f>IF(VLOOKUP($B7,'Satınalma Takvimi Veri Girişi'!$B$4:$AC$146,9,FALSE)&lt;&gt;"",VLOOKUP($B7,'Satınalma Takvimi Veri Girişi'!$B$4:$AC$146,9,FALSE),"")</f>
        <v/>
      </c>
      <c r="O7" s="141">
        <f>VLOOKUP($B7,Şablon!$E$3:$Q$255,7,FALSE)</f>
        <v>7</v>
      </c>
      <c r="P7" s="142" t="str">
        <f t="shared" si="4"/>
        <v/>
      </c>
      <c r="Q7" s="143" t="str">
        <f t="shared" si="5"/>
        <v/>
      </c>
      <c r="R7" s="144" t="str">
        <f>IF(VLOOKUP($B7,'Satınalma Takvimi Veri Girişi'!$B$4:$AC$146,11,FALSE)&lt;&gt;"",VLOOKUP($B7,'Satınalma Takvimi Veri Girişi'!$B$4:$AC$146,11,FALSE),"")</f>
        <v/>
      </c>
      <c r="S7" s="141">
        <f>VLOOKUP($B7,Şablon!$E$3:$Q$255,8,FALSE)</f>
        <v>28</v>
      </c>
      <c r="T7" s="142" t="str">
        <f t="shared" si="6"/>
        <v/>
      </c>
      <c r="U7" s="143" t="str">
        <f t="shared" si="7"/>
        <v/>
      </c>
      <c r="V7" s="144" t="str">
        <f>IF(VLOOKUP($B7,'Satınalma Takvimi Veri Girişi'!$B$4:$AC$146,13,FALSE)&lt;&gt;"",VLOOKUP($B7,'Satınalma Takvimi Veri Girişi'!$B$4:$AC$146,13,FALSE),"")</f>
        <v/>
      </c>
      <c r="W7" s="141">
        <f>VLOOKUP($B7,Şablon!$E$3:$Q$255,9,FALSE)</f>
        <v>7</v>
      </c>
      <c r="X7" s="142" t="str">
        <f t="shared" si="8"/>
        <v/>
      </c>
      <c r="Y7" s="143" t="str">
        <f t="shared" si="9"/>
        <v/>
      </c>
      <c r="Z7" s="144" t="str">
        <f>IF(VLOOKUP($B7,'Satınalma Takvimi Veri Girişi'!$B$4:$AC$146,15,FALSE)&lt;&gt;"",VLOOKUP($B7,'Satınalma Takvimi Veri Girişi'!$B$4:$AC$146,15,FALSE),"")</f>
        <v/>
      </c>
      <c r="AA7" s="141">
        <f>VLOOKUP($B7,Şablon!$E$3:$Q$255,10,FALSE)</f>
        <v>14</v>
      </c>
      <c r="AB7" s="142" t="str">
        <f t="shared" si="10"/>
        <v/>
      </c>
      <c r="AC7" s="143" t="str">
        <f t="shared" si="11"/>
        <v/>
      </c>
      <c r="AD7" s="144" t="str">
        <f>IF(VLOOKUP($B7,'Satınalma Takvimi Veri Girişi'!$B$4:$AC$146,17,FALSE)&lt;&gt;"",VLOOKUP($B7,'Satınalma Takvimi Veri Girişi'!$B$4:$AC$146,17,FALSE),"")</f>
        <v/>
      </c>
      <c r="AE7" s="141">
        <f>(VLOOKUP($B7,Şablon!$E$3:$Q$255,11,FALSE)+VLOOKUP($B7,Şablon!$E$3:$Q$255,12,FALSE))</f>
        <v>35</v>
      </c>
      <c r="AF7" s="142" t="str">
        <f t="shared" si="12"/>
        <v/>
      </c>
      <c r="AG7" s="143" t="str">
        <f t="shared" si="13"/>
        <v/>
      </c>
      <c r="AH7" s="144" t="str">
        <f>IF(VLOOKUP($B7,'Satınalma Takvimi Veri Girişi'!$B$4:$AC$146,19,FALSE)&lt;&gt;"",VLOOKUP($B7,'Satınalma Takvimi Veri Girişi'!$B$4:$AC$146,19,FALSE),"")</f>
        <v/>
      </c>
      <c r="AI7" s="145" t="str">
        <f>IF(VLOOKUP($B7,'Satınalma Takvimi Veri Girişi'!$B$4:$AC$146,20,FALSE)&lt;&gt;"",VLOOKUP($B7,'Satınalma Takvimi Veri Girişi'!$B$4:$AC$146,20,FALSE),"")</f>
        <v/>
      </c>
      <c r="AJ7" s="144" t="str">
        <f>IF(VLOOKUP($B7,'Satınalma Takvimi Veri Girişi'!$B$4:$AC$146,21,FALSE)&lt;&gt;"",VLOOKUP($B7,'Satınalma Takvimi Veri Girişi'!$B$4:$AC$146,21,FALSE),"")</f>
        <v/>
      </c>
      <c r="AK7" s="146" t="str">
        <f>IF(VLOOKUP($B7,'Satınalma Takvimi Veri Girişi'!$B$4:$AC$146,22,FALSE)&lt;&gt;"",VLOOKUP($B7,'Satınalma Takvimi Veri Girişi'!$B$4:$AC$146,22,FALSE),"")</f>
        <v/>
      </c>
      <c r="AL7" s="147" t="str">
        <f>IF(VLOOKUP($B7,'Satınalma Takvimi Veri Girişi'!$B$4:$AC$146,23,FALSE)&lt;&gt;"",VLOOKUP($B7,'Satınalma Takvimi Veri Girişi'!$B$4:$AC$146,23,FALSE),"")</f>
        <v/>
      </c>
      <c r="AM7" s="147" t="str">
        <f>IF(VLOOKUP($B7,'Satınalma Takvimi Veri Girişi'!$B$4:$AC$146,24,FALSE)&lt;&gt;"",VLOOKUP($B7,'Satınalma Takvimi Veri Girişi'!$B$4:$AC$146,24,FALSE),"")</f>
        <v/>
      </c>
      <c r="AN7" s="147" t="str">
        <f>IF(VLOOKUP($B7,'Satınalma Takvimi Veri Girişi'!$B$4:$AC$146,25,FALSE)&lt;&gt;"",VLOOKUP($B7,'Satınalma Takvimi Veri Girişi'!$B$4:$AC$146,25,FALSE),"")</f>
        <v/>
      </c>
      <c r="AO7" s="147" t="str">
        <f>IF(VLOOKUP($B7,'Satınalma Takvimi Veri Girişi'!$B$4:$AC$146,26,FALSE)&lt;&gt;"",VLOOKUP($B7,'Satınalma Takvimi Veri Girişi'!$B$4:$AC$146,26,FALSE),"")</f>
        <v/>
      </c>
      <c r="AP7" s="147" t="str">
        <f>IF(VLOOKUP($B7,'Satınalma Takvimi Veri Girişi'!$B$4:$AC$146,27,FALSE)&lt;&gt;"",VLOOKUP($B7,'Satınalma Takvimi Veri Girişi'!$B$4:$AC$146,27,FALSE),"")</f>
        <v/>
      </c>
      <c r="AQ7" s="148" t="str">
        <f>IF(VLOOKUP($B7,'Satınalma Takvimi Veri Girişi'!$B$4:$AC$146,28,FALSE)&lt;&gt;"",VLOOKUP($B7,'Satınalma Takvimi Veri Girişi'!$B$4:$AC$146,28,FALSE),"")</f>
        <v/>
      </c>
    </row>
    <row r="8" spans="2:43" ht="19.95" customHeight="1" x14ac:dyDescent="0.3">
      <c r="B8" s="64" t="str">
        <f>Şablon!E7</f>
        <v>IHL.3028.005/1</v>
      </c>
      <c r="C8" s="139" t="str">
        <f>VLOOKUP($B8,Şablon!$E$3:$Q$255,2,FALSE)</f>
        <v>11.03.00 ZEMİN İYİLEŞTİRME TEST YAPILMASI</v>
      </c>
      <c r="D8" s="161" t="str">
        <f>IF(VLOOKUP($B8,'Satınalma Takvimi Veri Girişi'!$B$4:$AC$146,3,FALSE)&lt;&gt;"",VLOOKUP($B8,'Satınalma Takvimi Veri Girişi'!$B$4:$AC$146,3,FALSE),"")</f>
        <v/>
      </c>
      <c r="E8" s="139" t="str">
        <f>VLOOKUP($B8,Şablon!$E$3:$Q$255,3,FALSE)</f>
        <v>C KATEGORİ</v>
      </c>
      <c r="F8" s="140" t="str">
        <f>VLOOKUP($B8,Şablon!$E$3:$Q$255,4,FALSE)</f>
        <v>İNŞ</v>
      </c>
      <c r="G8" s="141">
        <f>VLOOKUP($B8,Şablon!$E$3:$Q$255,5,FALSE)</f>
        <v>0</v>
      </c>
      <c r="H8" s="142" t="str">
        <f t="shared" si="0"/>
        <v/>
      </c>
      <c r="I8" s="143" t="str">
        <f t="shared" si="1"/>
        <v/>
      </c>
      <c r="J8" s="144" t="str">
        <f>IF(VLOOKUP($B8,'Satınalma Takvimi Veri Girişi'!$B$4:$AC$146,7,FALSE)&lt;&gt;"",VLOOKUP($B8,'Satınalma Takvimi Veri Girişi'!$B$4:$AC$146,7,FALSE),"")</f>
        <v/>
      </c>
      <c r="K8" s="141">
        <f>VLOOKUP($B8,Şablon!$E$3:$Q$255,6,FALSE)</f>
        <v>14</v>
      </c>
      <c r="L8" s="142" t="str">
        <f t="shared" si="2"/>
        <v/>
      </c>
      <c r="M8" s="143" t="str">
        <f t="shared" si="3"/>
        <v/>
      </c>
      <c r="N8" s="144" t="str">
        <f>IF(VLOOKUP($B8,'Satınalma Takvimi Veri Girişi'!$B$4:$AC$146,9,FALSE)&lt;&gt;"",VLOOKUP($B8,'Satınalma Takvimi Veri Girişi'!$B$4:$AC$146,9,FALSE),"")</f>
        <v/>
      </c>
      <c r="O8" s="141">
        <f>VLOOKUP($B8,Şablon!$E$3:$Q$255,7,FALSE)</f>
        <v>7</v>
      </c>
      <c r="P8" s="142" t="str">
        <f t="shared" si="4"/>
        <v/>
      </c>
      <c r="Q8" s="143" t="str">
        <f t="shared" si="5"/>
        <v/>
      </c>
      <c r="R8" s="144" t="str">
        <f>IF(VLOOKUP($B8,'Satınalma Takvimi Veri Girişi'!$B$4:$AC$146,11,FALSE)&lt;&gt;"",VLOOKUP($B8,'Satınalma Takvimi Veri Girişi'!$B$4:$AC$146,11,FALSE),"")</f>
        <v/>
      </c>
      <c r="S8" s="141">
        <f>VLOOKUP($B8,Şablon!$E$3:$Q$255,8,FALSE)</f>
        <v>28</v>
      </c>
      <c r="T8" s="142" t="str">
        <f t="shared" si="6"/>
        <v/>
      </c>
      <c r="U8" s="143" t="str">
        <f t="shared" si="7"/>
        <v/>
      </c>
      <c r="V8" s="144" t="str">
        <f>IF(VLOOKUP($B8,'Satınalma Takvimi Veri Girişi'!$B$4:$AC$146,13,FALSE)&lt;&gt;"",VLOOKUP($B8,'Satınalma Takvimi Veri Girişi'!$B$4:$AC$146,13,FALSE),"")</f>
        <v/>
      </c>
      <c r="W8" s="141">
        <f>VLOOKUP($B8,Şablon!$E$3:$Q$255,9,FALSE)</f>
        <v>7</v>
      </c>
      <c r="X8" s="142" t="str">
        <f t="shared" si="8"/>
        <v/>
      </c>
      <c r="Y8" s="143" t="str">
        <f t="shared" si="9"/>
        <v/>
      </c>
      <c r="Z8" s="144" t="str">
        <f>IF(VLOOKUP($B8,'Satınalma Takvimi Veri Girişi'!$B$4:$AC$146,15,FALSE)&lt;&gt;"",VLOOKUP($B8,'Satınalma Takvimi Veri Girişi'!$B$4:$AC$146,15,FALSE),"")</f>
        <v/>
      </c>
      <c r="AA8" s="141">
        <f>VLOOKUP($B8,Şablon!$E$3:$Q$255,10,FALSE)</f>
        <v>14</v>
      </c>
      <c r="AB8" s="142" t="str">
        <f t="shared" si="10"/>
        <v/>
      </c>
      <c r="AC8" s="143" t="str">
        <f t="shared" si="11"/>
        <v/>
      </c>
      <c r="AD8" s="144" t="str">
        <f>IF(VLOOKUP($B8,'Satınalma Takvimi Veri Girişi'!$B$4:$AC$146,17,FALSE)&lt;&gt;"",VLOOKUP($B8,'Satınalma Takvimi Veri Girişi'!$B$4:$AC$146,17,FALSE),"")</f>
        <v/>
      </c>
      <c r="AE8" s="141">
        <f>(VLOOKUP($B8,Şablon!$E$3:$Q$255,11,FALSE)+VLOOKUP($B8,Şablon!$E$3:$Q$255,12,FALSE))</f>
        <v>28</v>
      </c>
      <c r="AF8" s="142" t="str">
        <f t="shared" si="12"/>
        <v/>
      </c>
      <c r="AG8" s="143" t="str">
        <f t="shared" si="13"/>
        <v/>
      </c>
      <c r="AH8" s="144" t="str">
        <f>IF(VLOOKUP($B8,'Satınalma Takvimi Veri Girişi'!$B$4:$AC$146,19,FALSE)&lt;&gt;"",VLOOKUP($B8,'Satınalma Takvimi Veri Girişi'!$B$4:$AC$146,19,FALSE),"")</f>
        <v/>
      </c>
      <c r="AI8" s="145" t="str">
        <f>IF(VLOOKUP($B8,'Satınalma Takvimi Veri Girişi'!$B$4:$AC$146,20,FALSE)&lt;&gt;"",VLOOKUP($B8,'Satınalma Takvimi Veri Girişi'!$B$4:$AC$146,20,FALSE),"")</f>
        <v/>
      </c>
      <c r="AJ8" s="144" t="str">
        <f>IF(VLOOKUP($B8,'Satınalma Takvimi Veri Girişi'!$B$4:$AC$146,21,FALSE)&lt;&gt;"",VLOOKUP($B8,'Satınalma Takvimi Veri Girişi'!$B$4:$AC$146,21,FALSE),"")</f>
        <v/>
      </c>
      <c r="AK8" s="146" t="str">
        <f>IF(VLOOKUP($B8,'Satınalma Takvimi Veri Girişi'!$B$4:$AC$146,22,FALSE)&lt;&gt;"",VLOOKUP($B8,'Satınalma Takvimi Veri Girişi'!$B$4:$AC$146,22,FALSE),"")</f>
        <v/>
      </c>
      <c r="AL8" s="147" t="str">
        <f>IF(VLOOKUP($B8,'Satınalma Takvimi Veri Girişi'!$B$4:$AC$146,23,FALSE)&lt;&gt;"",VLOOKUP($B8,'Satınalma Takvimi Veri Girişi'!$B$4:$AC$146,23,FALSE),"")</f>
        <v/>
      </c>
      <c r="AM8" s="147" t="str">
        <f>IF(VLOOKUP($B8,'Satınalma Takvimi Veri Girişi'!$B$4:$AC$146,24,FALSE)&lt;&gt;"",VLOOKUP($B8,'Satınalma Takvimi Veri Girişi'!$B$4:$AC$146,24,FALSE),"")</f>
        <v/>
      </c>
      <c r="AN8" s="147" t="str">
        <f>IF(VLOOKUP($B8,'Satınalma Takvimi Veri Girişi'!$B$4:$AC$146,25,FALSE)&lt;&gt;"",VLOOKUP($B8,'Satınalma Takvimi Veri Girişi'!$B$4:$AC$146,25,FALSE),"")</f>
        <v/>
      </c>
      <c r="AO8" s="147" t="str">
        <f>IF(VLOOKUP($B8,'Satınalma Takvimi Veri Girişi'!$B$4:$AC$146,26,FALSE)&lt;&gt;"",VLOOKUP($B8,'Satınalma Takvimi Veri Girişi'!$B$4:$AC$146,26,FALSE),"")</f>
        <v/>
      </c>
      <c r="AP8" s="147" t="str">
        <f>IF(VLOOKUP($B8,'Satınalma Takvimi Veri Girişi'!$B$4:$AC$146,27,FALSE)&lt;&gt;"",VLOOKUP($B8,'Satınalma Takvimi Veri Girişi'!$B$4:$AC$146,27,FALSE),"")</f>
        <v/>
      </c>
      <c r="AQ8" s="148" t="str">
        <f>IF(VLOOKUP($B8,'Satınalma Takvimi Veri Girişi'!$B$4:$AC$146,28,FALSE)&lt;&gt;"",VLOOKUP($B8,'Satınalma Takvimi Veri Girişi'!$B$4:$AC$146,28,FALSE),"")</f>
        <v/>
      </c>
    </row>
    <row r="9" spans="2:43" ht="19.95" customHeight="1" x14ac:dyDescent="0.3">
      <c r="B9" s="64" t="str">
        <f>Şablon!E8</f>
        <v>IHL.3028.006/1</v>
      </c>
      <c r="C9" s="139" t="str">
        <f>VLOOKUP($B9,Şablon!$E$3:$Q$255,2,FALSE)</f>
        <v>11.01.00 İKSA İŞLERİ</v>
      </c>
      <c r="D9" s="161" t="str">
        <f>IF(VLOOKUP($B9,'Satınalma Takvimi Veri Girişi'!$B$4:$AC$146,3,FALSE)&lt;&gt;"",VLOOKUP($B9,'Satınalma Takvimi Veri Girişi'!$B$4:$AC$146,3,FALSE),"")</f>
        <v/>
      </c>
      <c r="E9" s="139" t="str">
        <f>VLOOKUP($B9,Şablon!$E$3:$Q$255,3,FALSE)</f>
        <v>A KATEGORİ</v>
      </c>
      <c r="F9" s="140" t="str">
        <f>VLOOKUP($B9,Şablon!$E$3:$Q$255,4,FALSE)</f>
        <v>İNŞ</v>
      </c>
      <c r="G9" s="141">
        <f>VLOOKUP($B9,Şablon!$E$3:$Q$255,5,FALSE)</f>
        <v>0</v>
      </c>
      <c r="H9" s="142" t="str">
        <f t="shared" si="0"/>
        <v/>
      </c>
      <c r="I9" s="143" t="str">
        <f t="shared" si="1"/>
        <v/>
      </c>
      <c r="J9" s="144" t="str">
        <f>IF(VLOOKUP($B9,'Satınalma Takvimi Veri Girişi'!$B$4:$AC$146,7,FALSE)&lt;&gt;"",VLOOKUP($B9,'Satınalma Takvimi Veri Girişi'!$B$4:$AC$146,7,FALSE),"")</f>
        <v/>
      </c>
      <c r="K9" s="141">
        <f>VLOOKUP($B9,Şablon!$E$3:$Q$255,6,FALSE)</f>
        <v>14</v>
      </c>
      <c r="L9" s="142" t="str">
        <f t="shared" si="2"/>
        <v/>
      </c>
      <c r="M9" s="143" t="str">
        <f t="shared" si="3"/>
        <v/>
      </c>
      <c r="N9" s="144" t="str">
        <f>IF(VLOOKUP($B9,'Satınalma Takvimi Veri Girişi'!$B$4:$AC$146,9,FALSE)&lt;&gt;"",VLOOKUP($B9,'Satınalma Takvimi Veri Girişi'!$B$4:$AC$146,9,FALSE),"")</f>
        <v/>
      </c>
      <c r="O9" s="141">
        <f>VLOOKUP($B9,Şablon!$E$3:$Q$255,7,FALSE)</f>
        <v>14</v>
      </c>
      <c r="P9" s="142" t="str">
        <f t="shared" si="4"/>
        <v/>
      </c>
      <c r="Q9" s="143" t="str">
        <f t="shared" si="5"/>
        <v/>
      </c>
      <c r="R9" s="144" t="str">
        <f>IF(VLOOKUP($B9,'Satınalma Takvimi Veri Girişi'!$B$4:$AC$146,11,FALSE)&lt;&gt;"",VLOOKUP($B9,'Satınalma Takvimi Veri Girişi'!$B$4:$AC$146,11,FALSE),"")</f>
        <v/>
      </c>
      <c r="S9" s="141">
        <f>VLOOKUP($B9,Şablon!$E$3:$Q$255,8,FALSE)</f>
        <v>28</v>
      </c>
      <c r="T9" s="142" t="str">
        <f t="shared" si="6"/>
        <v/>
      </c>
      <c r="U9" s="143" t="str">
        <f t="shared" si="7"/>
        <v/>
      </c>
      <c r="V9" s="144" t="str">
        <f>IF(VLOOKUP($B9,'Satınalma Takvimi Veri Girişi'!$B$4:$AC$146,13,FALSE)&lt;&gt;"",VLOOKUP($B9,'Satınalma Takvimi Veri Girişi'!$B$4:$AC$146,13,FALSE),"")</f>
        <v/>
      </c>
      <c r="W9" s="141">
        <f>VLOOKUP($B9,Şablon!$E$3:$Q$255,9,FALSE)</f>
        <v>10</v>
      </c>
      <c r="X9" s="142" t="str">
        <f t="shared" si="8"/>
        <v/>
      </c>
      <c r="Y9" s="143" t="str">
        <f t="shared" si="9"/>
        <v/>
      </c>
      <c r="Z9" s="144" t="str">
        <f>IF(VLOOKUP($B9,'Satınalma Takvimi Veri Girişi'!$B$4:$AC$146,15,FALSE)&lt;&gt;"",VLOOKUP($B9,'Satınalma Takvimi Veri Girişi'!$B$4:$AC$146,15,FALSE),"")</f>
        <v/>
      </c>
      <c r="AA9" s="141">
        <f>VLOOKUP($B9,Şablon!$E$3:$Q$255,10,FALSE)</f>
        <v>14</v>
      </c>
      <c r="AB9" s="142" t="str">
        <f t="shared" si="10"/>
        <v/>
      </c>
      <c r="AC9" s="143" t="str">
        <f t="shared" si="11"/>
        <v/>
      </c>
      <c r="AD9" s="144" t="str">
        <f>IF(VLOOKUP($B9,'Satınalma Takvimi Veri Girişi'!$B$4:$AC$146,17,FALSE)&lt;&gt;"",VLOOKUP($B9,'Satınalma Takvimi Veri Girişi'!$B$4:$AC$146,17,FALSE),"")</f>
        <v/>
      </c>
      <c r="AE9" s="141">
        <f>(VLOOKUP($B9,Şablon!$E$3:$Q$255,11,FALSE)+VLOOKUP($B9,Şablon!$E$3:$Q$255,12,FALSE))</f>
        <v>14</v>
      </c>
      <c r="AF9" s="142" t="str">
        <f t="shared" si="12"/>
        <v/>
      </c>
      <c r="AG9" s="143" t="str">
        <f t="shared" si="13"/>
        <v/>
      </c>
      <c r="AH9" s="144" t="str">
        <f>IF(VLOOKUP($B9,'Satınalma Takvimi Veri Girişi'!$B$4:$AC$146,19,FALSE)&lt;&gt;"",VLOOKUP($B9,'Satınalma Takvimi Veri Girişi'!$B$4:$AC$146,19,FALSE),"")</f>
        <v/>
      </c>
      <c r="AI9" s="145" t="str">
        <f>IF(VLOOKUP($B9,'Satınalma Takvimi Veri Girişi'!$B$4:$AC$146,20,FALSE)&lt;&gt;"",VLOOKUP($B9,'Satınalma Takvimi Veri Girişi'!$B$4:$AC$146,20,FALSE),"")</f>
        <v/>
      </c>
      <c r="AJ9" s="144" t="str">
        <f>IF(VLOOKUP($B9,'Satınalma Takvimi Veri Girişi'!$B$4:$AC$146,21,FALSE)&lt;&gt;"",VLOOKUP($B9,'Satınalma Takvimi Veri Girişi'!$B$4:$AC$146,21,FALSE),"")</f>
        <v/>
      </c>
      <c r="AK9" s="146" t="str">
        <f>IF(VLOOKUP($B9,'Satınalma Takvimi Veri Girişi'!$B$4:$AC$146,22,FALSE)&lt;&gt;"",VLOOKUP($B9,'Satınalma Takvimi Veri Girişi'!$B$4:$AC$146,22,FALSE),"")</f>
        <v/>
      </c>
      <c r="AL9" s="147" t="str">
        <f>IF(VLOOKUP($B9,'Satınalma Takvimi Veri Girişi'!$B$4:$AC$146,23,FALSE)&lt;&gt;"",VLOOKUP($B9,'Satınalma Takvimi Veri Girişi'!$B$4:$AC$146,23,FALSE),"")</f>
        <v/>
      </c>
      <c r="AM9" s="147" t="str">
        <f>IF(VLOOKUP($B9,'Satınalma Takvimi Veri Girişi'!$B$4:$AC$146,24,FALSE)&lt;&gt;"",VLOOKUP($B9,'Satınalma Takvimi Veri Girişi'!$B$4:$AC$146,24,FALSE),"")</f>
        <v/>
      </c>
      <c r="AN9" s="147" t="str">
        <f>IF(VLOOKUP($B9,'Satınalma Takvimi Veri Girişi'!$B$4:$AC$146,25,FALSE)&lt;&gt;"",VLOOKUP($B9,'Satınalma Takvimi Veri Girişi'!$B$4:$AC$146,25,FALSE),"")</f>
        <v/>
      </c>
      <c r="AO9" s="147" t="str">
        <f>IF(VLOOKUP($B9,'Satınalma Takvimi Veri Girişi'!$B$4:$AC$146,26,FALSE)&lt;&gt;"",VLOOKUP($B9,'Satınalma Takvimi Veri Girişi'!$B$4:$AC$146,26,FALSE),"")</f>
        <v/>
      </c>
      <c r="AP9" s="147" t="str">
        <f>IF(VLOOKUP($B9,'Satınalma Takvimi Veri Girişi'!$B$4:$AC$146,27,FALSE)&lt;&gt;"",VLOOKUP($B9,'Satınalma Takvimi Veri Girişi'!$B$4:$AC$146,27,FALSE),"")</f>
        <v/>
      </c>
      <c r="AQ9" s="148" t="str">
        <f>IF(VLOOKUP($B9,'Satınalma Takvimi Veri Girişi'!$B$4:$AC$146,28,FALSE)&lt;&gt;"",VLOOKUP($B9,'Satınalma Takvimi Veri Girişi'!$B$4:$AC$146,28,FALSE),"")</f>
        <v/>
      </c>
    </row>
    <row r="10" spans="2:43" ht="19.95" customHeight="1" x14ac:dyDescent="0.3">
      <c r="B10" s="64" t="str">
        <f>Şablon!E9</f>
        <v>IHL.3028.007/1</v>
      </c>
      <c r="C10" s="139" t="str">
        <f>VLOOKUP($B10,Şablon!$E$3:$Q$255,2,FALSE)</f>
        <v>11.00.00 (M) DÖKME ÇİMENTO MALZEME</v>
      </c>
      <c r="D10" s="161" t="str">
        <f>IF(VLOOKUP($B10,'Satınalma Takvimi Veri Girişi'!$B$4:$AC$146,3,FALSE)&lt;&gt;"",VLOOKUP($B10,'Satınalma Takvimi Veri Girişi'!$B$4:$AC$146,3,FALSE),"")</f>
        <v/>
      </c>
      <c r="E10" s="139" t="str">
        <f>VLOOKUP($B10,Şablon!$E$3:$Q$255,3,FALSE)</f>
        <v>B KATEGORİ</v>
      </c>
      <c r="F10" s="140" t="str">
        <f>VLOOKUP($B10,Şablon!$E$3:$Q$255,4,FALSE)</f>
        <v>İNŞ</v>
      </c>
      <c r="G10" s="141">
        <f>VLOOKUP($B10,Şablon!$E$3:$Q$255,5,FALSE)</f>
        <v>0</v>
      </c>
      <c r="H10" s="142" t="str">
        <f t="shared" si="0"/>
        <v/>
      </c>
      <c r="I10" s="143" t="str">
        <f t="shared" si="1"/>
        <v/>
      </c>
      <c r="J10" s="144" t="str">
        <f>IF(VLOOKUP($B10,'Satınalma Takvimi Veri Girişi'!$B$4:$AC$146,7,FALSE)&lt;&gt;"",VLOOKUP($B10,'Satınalma Takvimi Veri Girişi'!$B$4:$AC$146,7,FALSE),"")</f>
        <v/>
      </c>
      <c r="K10" s="141">
        <f>VLOOKUP($B10,Şablon!$E$3:$Q$255,6,FALSE)</f>
        <v>14</v>
      </c>
      <c r="L10" s="142" t="str">
        <f t="shared" si="2"/>
        <v/>
      </c>
      <c r="M10" s="143" t="str">
        <f t="shared" si="3"/>
        <v/>
      </c>
      <c r="N10" s="144" t="str">
        <f>IF(VLOOKUP($B10,'Satınalma Takvimi Veri Girişi'!$B$4:$AC$146,9,FALSE)&lt;&gt;"",VLOOKUP($B10,'Satınalma Takvimi Veri Girişi'!$B$4:$AC$146,9,FALSE),"")</f>
        <v/>
      </c>
      <c r="O10" s="141">
        <f>VLOOKUP($B10,Şablon!$E$3:$Q$255,7,FALSE)</f>
        <v>7</v>
      </c>
      <c r="P10" s="142" t="str">
        <f t="shared" si="4"/>
        <v/>
      </c>
      <c r="Q10" s="143" t="str">
        <f t="shared" si="5"/>
        <v/>
      </c>
      <c r="R10" s="144" t="str">
        <f>IF(VLOOKUP($B10,'Satınalma Takvimi Veri Girişi'!$B$4:$AC$146,11,FALSE)&lt;&gt;"",VLOOKUP($B10,'Satınalma Takvimi Veri Girişi'!$B$4:$AC$146,11,FALSE),"")</f>
        <v/>
      </c>
      <c r="S10" s="141">
        <f>VLOOKUP($B10,Şablon!$E$3:$Q$255,8,FALSE)</f>
        <v>21</v>
      </c>
      <c r="T10" s="142" t="str">
        <f t="shared" si="6"/>
        <v/>
      </c>
      <c r="U10" s="143" t="str">
        <f t="shared" si="7"/>
        <v/>
      </c>
      <c r="V10" s="144" t="str">
        <f>IF(VLOOKUP($B10,'Satınalma Takvimi Veri Girişi'!$B$4:$AC$146,13,FALSE)&lt;&gt;"",VLOOKUP($B10,'Satınalma Takvimi Veri Girişi'!$B$4:$AC$146,13,FALSE),"")</f>
        <v/>
      </c>
      <c r="W10" s="141">
        <f>VLOOKUP($B10,Şablon!$E$3:$Q$255,9,FALSE)</f>
        <v>7</v>
      </c>
      <c r="X10" s="142" t="str">
        <f t="shared" si="8"/>
        <v/>
      </c>
      <c r="Y10" s="143" t="str">
        <f t="shared" si="9"/>
        <v/>
      </c>
      <c r="Z10" s="144" t="str">
        <f>IF(VLOOKUP($B10,'Satınalma Takvimi Veri Girişi'!$B$4:$AC$146,15,FALSE)&lt;&gt;"",VLOOKUP($B10,'Satınalma Takvimi Veri Girişi'!$B$4:$AC$146,15,FALSE),"")</f>
        <v/>
      </c>
      <c r="AA10" s="141">
        <f>VLOOKUP($B10,Şablon!$E$3:$Q$255,10,FALSE)</f>
        <v>14</v>
      </c>
      <c r="AB10" s="142" t="str">
        <f t="shared" si="10"/>
        <v/>
      </c>
      <c r="AC10" s="143" t="str">
        <f t="shared" si="11"/>
        <v/>
      </c>
      <c r="AD10" s="144" t="str">
        <f>IF(VLOOKUP($B10,'Satınalma Takvimi Veri Girişi'!$B$4:$AC$146,17,FALSE)&lt;&gt;"",VLOOKUP($B10,'Satınalma Takvimi Veri Girişi'!$B$4:$AC$146,17,FALSE),"")</f>
        <v/>
      </c>
      <c r="AE10" s="141">
        <f>(VLOOKUP($B10,Şablon!$E$3:$Q$255,11,FALSE)+VLOOKUP($B10,Şablon!$E$3:$Q$255,12,FALSE))</f>
        <v>7</v>
      </c>
      <c r="AF10" s="142" t="str">
        <f t="shared" si="12"/>
        <v/>
      </c>
      <c r="AG10" s="143" t="str">
        <f t="shared" si="13"/>
        <v/>
      </c>
      <c r="AH10" s="144" t="str">
        <f>IF(VLOOKUP($B10,'Satınalma Takvimi Veri Girişi'!$B$4:$AC$146,19,FALSE)&lt;&gt;"",VLOOKUP($B10,'Satınalma Takvimi Veri Girişi'!$B$4:$AC$146,19,FALSE),"")</f>
        <v/>
      </c>
      <c r="AI10" s="145" t="str">
        <f>IF(VLOOKUP($B10,'Satınalma Takvimi Veri Girişi'!$B$4:$AC$146,20,FALSE)&lt;&gt;"",VLOOKUP($B10,'Satınalma Takvimi Veri Girişi'!$B$4:$AC$146,20,FALSE),"")</f>
        <v/>
      </c>
      <c r="AJ10" s="144" t="str">
        <f>IF(VLOOKUP($B10,'Satınalma Takvimi Veri Girişi'!$B$4:$AC$146,21,FALSE)&lt;&gt;"",VLOOKUP($B10,'Satınalma Takvimi Veri Girişi'!$B$4:$AC$146,21,FALSE),"")</f>
        <v/>
      </c>
      <c r="AK10" s="146" t="str">
        <f>IF(VLOOKUP($B10,'Satınalma Takvimi Veri Girişi'!$B$4:$AC$146,22,FALSE)&lt;&gt;"",VLOOKUP($B10,'Satınalma Takvimi Veri Girişi'!$B$4:$AC$146,22,FALSE),"")</f>
        <v/>
      </c>
      <c r="AL10" s="147" t="str">
        <f>IF(VLOOKUP($B10,'Satınalma Takvimi Veri Girişi'!$B$4:$AC$146,23,FALSE)&lt;&gt;"",VLOOKUP($B10,'Satınalma Takvimi Veri Girişi'!$B$4:$AC$146,23,FALSE),"")</f>
        <v/>
      </c>
      <c r="AM10" s="147" t="str">
        <f>IF(VLOOKUP($B10,'Satınalma Takvimi Veri Girişi'!$B$4:$AC$146,24,FALSE)&lt;&gt;"",VLOOKUP($B10,'Satınalma Takvimi Veri Girişi'!$B$4:$AC$146,24,FALSE),"")</f>
        <v/>
      </c>
      <c r="AN10" s="147" t="str">
        <f>IF(VLOOKUP($B10,'Satınalma Takvimi Veri Girişi'!$B$4:$AC$146,25,FALSE)&lt;&gt;"",VLOOKUP($B10,'Satınalma Takvimi Veri Girişi'!$B$4:$AC$146,25,FALSE),"")</f>
        <v/>
      </c>
      <c r="AO10" s="147" t="str">
        <f>IF(VLOOKUP($B10,'Satınalma Takvimi Veri Girişi'!$B$4:$AC$146,26,FALSE)&lt;&gt;"",VLOOKUP($B10,'Satınalma Takvimi Veri Girişi'!$B$4:$AC$146,26,FALSE),"")</f>
        <v/>
      </c>
      <c r="AP10" s="147" t="str">
        <f>IF(VLOOKUP($B10,'Satınalma Takvimi Veri Girişi'!$B$4:$AC$146,27,FALSE)&lt;&gt;"",VLOOKUP($B10,'Satınalma Takvimi Veri Girişi'!$B$4:$AC$146,27,FALSE),"")</f>
        <v/>
      </c>
      <c r="AQ10" s="148" t="str">
        <f>IF(VLOOKUP($B10,'Satınalma Takvimi Veri Girişi'!$B$4:$AC$146,28,FALSE)&lt;&gt;"",VLOOKUP($B10,'Satınalma Takvimi Veri Girişi'!$B$4:$AC$146,28,FALSE),"")</f>
        <v/>
      </c>
    </row>
    <row r="11" spans="2:43" ht="19.95" customHeight="1" x14ac:dyDescent="0.3">
      <c r="B11" s="64" t="str">
        <f>Şablon!E10</f>
        <v>IHL.3028.008/1</v>
      </c>
      <c r="C11" s="139" t="str">
        <f>VLOOKUP($B11,Şablon!$E$3:$Q$255,2,FALSE)</f>
        <v>13.01.00 (M) HAZIR BETON MALZEME</v>
      </c>
      <c r="D11" s="161" t="str">
        <f>IF(VLOOKUP($B11,'Satınalma Takvimi Veri Girişi'!$B$4:$AC$146,3,FALSE)&lt;&gt;"",VLOOKUP($B11,'Satınalma Takvimi Veri Girişi'!$B$4:$AC$146,3,FALSE),"")</f>
        <v/>
      </c>
      <c r="E11" s="139" t="str">
        <f>VLOOKUP($B11,Şablon!$E$3:$Q$255,3,FALSE)</f>
        <v>B KATEGORİ</v>
      </c>
      <c r="F11" s="140" t="str">
        <f>VLOOKUP($B11,Şablon!$E$3:$Q$255,4,FALSE)</f>
        <v>İNŞ</v>
      </c>
      <c r="G11" s="141">
        <f>VLOOKUP($B11,Şablon!$E$3:$Q$255,5,FALSE)</f>
        <v>0</v>
      </c>
      <c r="H11" s="142" t="str">
        <f t="shared" si="0"/>
        <v/>
      </c>
      <c r="I11" s="143" t="str">
        <f t="shared" si="1"/>
        <v/>
      </c>
      <c r="J11" s="144" t="str">
        <f>IF(VLOOKUP($B11,'Satınalma Takvimi Veri Girişi'!$B$4:$AC$146,7,FALSE)&lt;&gt;"",VLOOKUP($B11,'Satınalma Takvimi Veri Girişi'!$B$4:$AC$146,7,FALSE),"")</f>
        <v/>
      </c>
      <c r="K11" s="141">
        <f>VLOOKUP($B11,Şablon!$E$3:$Q$255,6,FALSE)</f>
        <v>14</v>
      </c>
      <c r="L11" s="142" t="str">
        <f t="shared" si="2"/>
        <v/>
      </c>
      <c r="M11" s="143" t="str">
        <f t="shared" si="3"/>
        <v/>
      </c>
      <c r="N11" s="144" t="str">
        <f>IF(VLOOKUP($B11,'Satınalma Takvimi Veri Girişi'!$B$4:$AC$146,9,FALSE)&lt;&gt;"",VLOOKUP($B11,'Satınalma Takvimi Veri Girişi'!$B$4:$AC$146,9,FALSE),"")</f>
        <v/>
      </c>
      <c r="O11" s="141">
        <f>VLOOKUP($B11,Şablon!$E$3:$Q$255,7,FALSE)</f>
        <v>7</v>
      </c>
      <c r="P11" s="142" t="str">
        <f t="shared" si="4"/>
        <v/>
      </c>
      <c r="Q11" s="143" t="str">
        <f t="shared" si="5"/>
        <v/>
      </c>
      <c r="R11" s="144" t="str">
        <f>IF(VLOOKUP($B11,'Satınalma Takvimi Veri Girişi'!$B$4:$AC$146,11,FALSE)&lt;&gt;"",VLOOKUP($B11,'Satınalma Takvimi Veri Girişi'!$B$4:$AC$146,11,FALSE),"")</f>
        <v/>
      </c>
      <c r="S11" s="141">
        <f>VLOOKUP($B11,Şablon!$E$3:$Q$255,8,FALSE)</f>
        <v>21</v>
      </c>
      <c r="T11" s="142" t="str">
        <f t="shared" si="6"/>
        <v/>
      </c>
      <c r="U11" s="143" t="str">
        <f t="shared" si="7"/>
        <v/>
      </c>
      <c r="V11" s="144" t="str">
        <f>IF(VLOOKUP($B11,'Satınalma Takvimi Veri Girişi'!$B$4:$AC$146,13,FALSE)&lt;&gt;"",VLOOKUP($B11,'Satınalma Takvimi Veri Girişi'!$B$4:$AC$146,13,FALSE),"")</f>
        <v/>
      </c>
      <c r="W11" s="141">
        <f>VLOOKUP($B11,Şablon!$E$3:$Q$255,9,FALSE)</f>
        <v>7</v>
      </c>
      <c r="X11" s="142" t="str">
        <f t="shared" si="8"/>
        <v/>
      </c>
      <c r="Y11" s="143" t="str">
        <f t="shared" si="9"/>
        <v/>
      </c>
      <c r="Z11" s="144" t="str">
        <f>IF(VLOOKUP($B11,'Satınalma Takvimi Veri Girişi'!$B$4:$AC$146,15,FALSE)&lt;&gt;"",VLOOKUP($B11,'Satınalma Takvimi Veri Girişi'!$B$4:$AC$146,15,FALSE),"")</f>
        <v/>
      </c>
      <c r="AA11" s="141">
        <f>VLOOKUP($B11,Şablon!$E$3:$Q$255,10,FALSE)</f>
        <v>14</v>
      </c>
      <c r="AB11" s="142" t="str">
        <f t="shared" si="10"/>
        <v/>
      </c>
      <c r="AC11" s="143" t="str">
        <f t="shared" si="11"/>
        <v/>
      </c>
      <c r="AD11" s="144" t="str">
        <f>IF(VLOOKUP($B11,'Satınalma Takvimi Veri Girişi'!$B$4:$AC$146,17,FALSE)&lt;&gt;"",VLOOKUP($B11,'Satınalma Takvimi Veri Girişi'!$B$4:$AC$146,17,FALSE),"")</f>
        <v/>
      </c>
      <c r="AE11" s="141">
        <f>(VLOOKUP($B11,Şablon!$E$3:$Q$255,11,FALSE)+VLOOKUP($B11,Şablon!$E$3:$Q$255,12,FALSE))</f>
        <v>7</v>
      </c>
      <c r="AF11" s="142" t="str">
        <f t="shared" si="12"/>
        <v/>
      </c>
      <c r="AG11" s="143" t="str">
        <f t="shared" si="13"/>
        <v/>
      </c>
      <c r="AH11" s="144" t="str">
        <f>IF(VLOOKUP($B11,'Satınalma Takvimi Veri Girişi'!$B$4:$AC$146,19,FALSE)&lt;&gt;"",VLOOKUP($B11,'Satınalma Takvimi Veri Girişi'!$B$4:$AC$146,19,FALSE),"")</f>
        <v/>
      </c>
      <c r="AI11" s="145" t="str">
        <f>IF(VLOOKUP($B11,'Satınalma Takvimi Veri Girişi'!$B$4:$AC$146,20,FALSE)&lt;&gt;"",VLOOKUP($B11,'Satınalma Takvimi Veri Girişi'!$B$4:$AC$146,20,FALSE),"")</f>
        <v/>
      </c>
      <c r="AJ11" s="144" t="str">
        <f>IF(VLOOKUP($B11,'Satınalma Takvimi Veri Girişi'!$B$4:$AC$146,21,FALSE)&lt;&gt;"",VLOOKUP($B11,'Satınalma Takvimi Veri Girişi'!$B$4:$AC$146,21,FALSE),"")</f>
        <v/>
      </c>
      <c r="AK11" s="146" t="str">
        <f>IF(VLOOKUP($B11,'Satınalma Takvimi Veri Girişi'!$B$4:$AC$146,22,FALSE)&lt;&gt;"",VLOOKUP($B11,'Satınalma Takvimi Veri Girişi'!$B$4:$AC$146,22,FALSE),"")</f>
        <v/>
      </c>
      <c r="AL11" s="147" t="str">
        <f>IF(VLOOKUP($B11,'Satınalma Takvimi Veri Girişi'!$B$4:$AC$146,23,FALSE)&lt;&gt;"",VLOOKUP($B11,'Satınalma Takvimi Veri Girişi'!$B$4:$AC$146,23,FALSE),"")</f>
        <v/>
      </c>
      <c r="AM11" s="147" t="str">
        <f>IF(VLOOKUP($B11,'Satınalma Takvimi Veri Girişi'!$B$4:$AC$146,24,FALSE)&lt;&gt;"",VLOOKUP($B11,'Satınalma Takvimi Veri Girişi'!$B$4:$AC$146,24,FALSE),"")</f>
        <v/>
      </c>
      <c r="AN11" s="147" t="str">
        <f>IF(VLOOKUP($B11,'Satınalma Takvimi Veri Girişi'!$B$4:$AC$146,25,FALSE)&lt;&gt;"",VLOOKUP($B11,'Satınalma Takvimi Veri Girişi'!$B$4:$AC$146,25,FALSE),"")</f>
        <v/>
      </c>
      <c r="AO11" s="147" t="str">
        <f>IF(VLOOKUP($B11,'Satınalma Takvimi Veri Girişi'!$B$4:$AC$146,26,FALSE)&lt;&gt;"",VLOOKUP($B11,'Satınalma Takvimi Veri Girişi'!$B$4:$AC$146,26,FALSE),"")</f>
        <v/>
      </c>
      <c r="AP11" s="147" t="str">
        <f>IF(VLOOKUP($B11,'Satınalma Takvimi Veri Girişi'!$B$4:$AC$146,27,FALSE)&lt;&gt;"",VLOOKUP($B11,'Satınalma Takvimi Veri Girişi'!$B$4:$AC$146,27,FALSE),"")</f>
        <v/>
      </c>
      <c r="AQ11" s="148" t="str">
        <f>IF(VLOOKUP($B11,'Satınalma Takvimi Veri Girişi'!$B$4:$AC$146,28,FALSE)&lt;&gt;"",VLOOKUP($B11,'Satınalma Takvimi Veri Girişi'!$B$4:$AC$146,28,FALSE),"")</f>
        <v/>
      </c>
    </row>
    <row r="12" spans="2:43" ht="19.95" customHeight="1" x14ac:dyDescent="0.3">
      <c r="B12" s="64" t="str">
        <f>Şablon!E11</f>
        <v>IHL.3028.009/1</v>
      </c>
      <c r="C12" s="139" t="str">
        <f>VLOOKUP($B12,Şablon!$E$3:$Q$255,2,FALSE)</f>
        <v>09.02.00 HAFRİYAT</v>
      </c>
      <c r="D12" s="161" t="str">
        <f>IF(VLOOKUP($B12,'Satınalma Takvimi Veri Girişi'!$B$4:$AC$146,3,FALSE)&lt;&gt;"",VLOOKUP($B12,'Satınalma Takvimi Veri Girişi'!$B$4:$AC$146,3,FALSE),"")</f>
        <v/>
      </c>
      <c r="E12" s="139" t="str">
        <f>VLOOKUP($B12,Şablon!$E$3:$Q$255,3,FALSE)</f>
        <v>A KATEGORİ</v>
      </c>
      <c r="F12" s="140" t="str">
        <f>VLOOKUP($B12,Şablon!$E$3:$Q$255,4,FALSE)</f>
        <v>İNŞ</v>
      </c>
      <c r="G12" s="141">
        <f>VLOOKUP($B12,Şablon!$E$3:$Q$255,5,FALSE)</f>
        <v>0</v>
      </c>
      <c r="H12" s="142" t="str">
        <f t="shared" si="0"/>
        <v/>
      </c>
      <c r="I12" s="143" t="str">
        <f t="shared" si="1"/>
        <v/>
      </c>
      <c r="J12" s="144" t="str">
        <f>IF(VLOOKUP($B12,'Satınalma Takvimi Veri Girişi'!$B$4:$AC$146,7,FALSE)&lt;&gt;"",VLOOKUP($B12,'Satınalma Takvimi Veri Girişi'!$B$4:$AC$146,7,FALSE),"")</f>
        <v/>
      </c>
      <c r="K12" s="141">
        <f>VLOOKUP($B12,Şablon!$E$3:$Q$255,6,FALSE)</f>
        <v>14</v>
      </c>
      <c r="L12" s="142" t="str">
        <f t="shared" si="2"/>
        <v/>
      </c>
      <c r="M12" s="143" t="str">
        <f t="shared" si="3"/>
        <v/>
      </c>
      <c r="N12" s="144" t="str">
        <f>IF(VLOOKUP($B12,'Satınalma Takvimi Veri Girişi'!$B$4:$AC$146,9,FALSE)&lt;&gt;"",VLOOKUP($B12,'Satınalma Takvimi Veri Girişi'!$B$4:$AC$146,9,FALSE),"")</f>
        <v/>
      </c>
      <c r="O12" s="141">
        <f>VLOOKUP($B12,Şablon!$E$3:$Q$255,7,FALSE)</f>
        <v>14</v>
      </c>
      <c r="P12" s="142" t="str">
        <f t="shared" si="4"/>
        <v/>
      </c>
      <c r="Q12" s="143" t="str">
        <f t="shared" si="5"/>
        <v/>
      </c>
      <c r="R12" s="144" t="str">
        <f>IF(VLOOKUP($B12,'Satınalma Takvimi Veri Girişi'!$B$4:$AC$146,11,FALSE)&lt;&gt;"",VLOOKUP($B12,'Satınalma Takvimi Veri Girişi'!$B$4:$AC$146,11,FALSE),"")</f>
        <v/>
      </c>
      <c r="S12" s="141">
        <f>VLOOKUP($B12,Şablon!$E$3:$Q$255,8,FALSE)</f>
        <v>28</v>
      </c>
      <c r="T12" s="142" t="str">
        <f t="shared" si="6"/>
        <v/>
      </c>
      <c r="U12" s="143" t="str">
        <f t="shared" si="7"/>
        <v/>
      </c>
      <c r="V12" s="144" t="str">
        <f>IF(VLOOKUP($B12,'Satınalma Takvimi Veri Girişi'!$B$4:$AC$146,13,FALSE)&lt;&gt;"",VLOOKUP($B12,'Satınalma Takvimi Veri Girişi'!$B$4:$AC$146,13,FALSE),"")</f>
        <v/>
      </c>
      <c r="W12" s="141">
        <f>VLOOKUP($B12,Şablon!$E$3:$Q$255,9,FALSE)</f>
        <v>10</v>
      </c>
      <c r="X12" s="142" t="str">
        <f t="shared" si="8"/>
        <v/>
      </c>
      <c r="Y12" s="143" t="str">
        <f t="shared" si="9"/>
        <v/>
      </c>
      <c r="Z12" s="144" t="str">
        <f>IF(VLOOKUP($B12,'Satınalma Takvimi Veri Girişi'!$B$4:$AC$146,15,FALSE)&lt;&gt;"",VLOOKUP($B12,'Satınalma Takvimi Veri Girişi'!$B$4:$AC$146,15,FALSE),"")</f>
        <v/>
      </c>
      <c r="AA12" s="141">
        <f>VLOOKUP($B12,Şablon!$E$3:$Q$255,10,FALSE)</f>
        <v>14</v>
      </c>
      <c r="AB12" s="142" t="str">
        <f t="shared" si="10"/>
        <v/>
      </c>
      <c r="AC12" s="143" t="str">
        <f t="shared" si="11"/>
        <v/>
      </c>
      <c r="AD12" s="144" t="str">
        <f>IF(VLOOKUP($B12,'Satınalma Takvimi Veri Girişi'!$B$4:$AC$146,17,FALSE)&lt;&gt;"",VLOOKUP($B12,'Satınalma Takvimi Veri Girişi'!$B$4:$AC$146,17,FALSE),"")</f>
        <v/>
      </c>
      <c r="AE12" s="141">
        <f>(VLOOKUP($B12,Şablon!$E$3:$Q$255,11,FALSE)+VLOOKUP($B12,Şablon!$E$3:$Q$255,12,FALSE))</f>
        <v>7</v>
      </c>
      <c r="AF12" s="142" t="str">
        <f t="shared" si="12"/>
        <v/>
      </c>
      <c r="AG12" s="143" t="str">
        <f t="shared" si="13"/>
        <v/>
      </c>
      <c r="AH12" s="144" t="str">
        <f>IF(VLOOKUP($B12,'Satınalma Takvimi Veri Girişi'!$B$4:$AC$146,19,FALSE)&lt;&gt;"",VLOOKUP($B12,'Satınalma Takvimi Veri Girişi'!$B$4:$AC$146,19,FALSE),"")</f>
        <v/>
      </c>
      <c r="AI12" s="145" t="str">
        <f>IF(VLOOKUP($B12,'Satınalma Takvimi Veri Girişi'!$B$4:$AC$146,20,FALSE)&lt;&gt;"",VLOOKUP($B12,'Satınalma Takvimi Veri Girişi'!$B$4:$AC$146,20,FALSE),"")</f>
        <v/>
      </c>
      <c r="AJ12" s="144" t="str">
        <f>IF(VLOOKUP($B12,'Satınalma Takvimi Veri Girişi'!$B$4:$AC$146,21,FALSE)&lt;&gt;"",VLOOKUP($B12,'Satınalma Takvimi Veri Girişi'!$B$4:$AC$146,21,FALSE),"")</f>
        <v/>
      </c>
      <c r="AK12" s="146" t="str">
        <f>IF(VLOOKUP($B12,'Satınalma Takvimi Veri Girişi'!$B$4:$AC$146,22,FALSE)&lt;&gt;"",VLOOKUP($B12,'Satınalma Takvimi Veri Girişi'!$B$4:$AC$146,22,FALSE),"")</f>
        <v/>
      </c>
      <c r="AL12" s="147" t="str">
        <f>IF(VLOOKUP($B12,'Satınalma Takvimi Veri Girişi'!$B$4:$AC$146,23,FALSE)&lt;&gt;"",VLOOKUP($B12,'Satınalma Takvimi Veri Girişi'!$B$4:$AC$146,23,FALSE),"")</f>
        <v/>
      </c>
      <c r="AM12" s="147" t="str">
        <f>IF(VLOOKUP($B12,'Satınalma Takvimi Veri Girişi'!$B$4:$AC$146,24,FALSE)&lt;&gt;"",VLOOKUP($B12,'Satınalma Takvimi Veri Girişi'!$B$4:$AC$146,24,FALSE),"")</f>
        <v/>
      </c>
      <c r="AN12" s="147" t="str">
        <f>IF(VLOOKUP($B12,'Satınalma Takvimi Veri Girişi'!$B$4:$AC$146,25,FALSE)&lt;&gt;"",VLOOKUP($B12,'Satınalma Takvimi Veri Girişi'!$B$4:$AC$146,25,FALSE),"")</f>
        <v/>
      </c>
      <c r="AO12" s="147" t="str">
        <f>IF(VLOOKUP($B12,'Satınalma Takvimi Veri Girişi'!$B$4:$AC$146,26,FALSE)&lt;&gt;"",VLOOKUP($B12,'Satınalma Takvimi Veri Girişi'!$B$4:$AC$146,26,FALSE),"")</f>
        <v/>
      </c>
      <c r="AP12" s="147" t="str">
        <f>IF(VLOOKUP($B12,'Satınalma Takvimi Veri Girişi'!$B$4:$AC$146,27,FALSE)&lt;&gt;"",VLOOKUP($B12,'Satınalma Takvimi Veri Girişi'!$B$4:$AC$146,27,FALSE),"")</f>
        <v/>
      </c>
      <c r="AQ12" s="148" t="str">
        <f>IF(VLOOKUP($B12,'Satınalma Takvimi Veri Girişi'!$B$4:$AC$146,28,FALSE)&lt;&gt;"",VLOOKUP($B12,'Satınalma Takvimi Veri Girişi'!$B$4:$AC$146,28,FALSE),"")</f>
        <v/>
      </c>
    </row>
    <row r="13" spans="2:43" ht="19.95" customHeight="1" x14ac:dyDescent="0.3">
      <c r="B13" s="64" t="str">
        <f>Şablon!E12</f>
        <v>IHL.3028.010/1</v>
      </c>
      <c r="C13" s="139" t="str">
        <f>VLOOKUP($B13,Şablon!$E$3:$Q$255,2,FALSE)</f>
        <v>11.02.00 ZEMİN İYİLEŞTİRME</v>
      </c>
      <c r="D13" s="161" t="str">
        <f>IF(VLOOKUP($B13,'Satınalma Takvimi Veri Girişi'!$B$4:$AC$146,3,FALSE)&lt;&gt;"",VLOOKUP($B13,'Satınalma Takvimi Veri Girişi'!$B$4:$AC$146,3,FALSE),"")</f>
        <v/>
      </c>
      <c r="E13" s="139" t="str">
        <f>VLOOKUP($B13,Şablon!$E$3:$Q$255,3,FALSE)</f>
        <v>A KATEGORİ</v>
      </c>
      <c r="F13" s="140" t="str">
        <f>VLOOKUP($B13,Şablon!$E$3:$Q$255,4,FALSE)</f>
        <v>İNŞ</v>
      </c>
      <c r="G13" s="141">
        <f>VLOOKUP($B13,Şablon!$E$3:$Q$255,5,FALSE)</f>
        <v>0</v>
      </c>
      <c r="H13" s="142" t="str">
        <f t="shared" si="0"/>
        <v/>
      </c>
      <c r="I13" s="143" t="str">
        <f t="shared" si="1"/>
        <v/>
      </c>
      <c r="J13" s="144" t="str">
        <f>IF(VLOOKUP($B13,'Satınalma Takvimi Veri Girişi'!$B$4:$AC$146,7,FALSE)&lt;&gt;"",VLOOKUP($B13,'Satınalma Takvimi Veri Girişi'!$B$4:$AC$146,7,FALSE),"")</f>
        <v/>
      </c>
      <c r="K13" s="141">
        <f>VLOOKUP($B13,Şablon!$E$3:$Q$255,6,FALSE)</f>
        <v>14</v>
      </c>
      <c r="L13" s="142" t="str">
        <f t="shared" si="2"/>
        <v/>
      </c>
      <c r="M13" s="143" t="str">
        <f t="shared" si="3"/>
        <v/>
      </c>
      <c r="N13" s="144" t="str">
        <f>IF(VLOOKUP($B13,'Satınalma Takvimi Veri Girişi'!$B$4:$AC$146,9,FALSE)&lt;&gt;"",VLOOKUP($B13,'Satınalma Takvimi Veri Girişi'!$B$4:$AC$146,9,FALSE),"")</f>
        <v/>
      </c>
      <c r="O13" s="141">
        <f>VLOOKUP($B13,Şablon!$E$3:$Q$255,7,FALSE)</f>
        <v>14</v>
      </c>
      <c r="P13" s="142" t="str">
        <f t="shared" si="4"/>
        <v/>
      </c>
      <c r="Q13" s="143" t="str">
        <f t="shared" si="5"/>
        <v/>
      </c>
      <c r="R13" s="144" t="str">
        <f>IF(VLOOKUP($B13,'Satınalma Takvimi Veri Girişi'!$B$4:$AC$146,11,FALSE)&lt;&gt;"",VLOOKUP($B13,'Satınalma Takvimi Veri Girişi'!$B$4:$AC$146,11,FALSE),"")</f>
        <v/>
      </c>
      <c r="S13" s="141">
        <f>VLOOKUP($B13,Şablon!$E$3:$Q$255,8,FALSE)</f>
        <v>28</v>
      </c>
      <c r="T13" s="142" t="str">
        <f t="shared" si="6"/>
        <v/>
      </c>
      <c r="U13" s="143" t="str">
        <f t="shared" si="7"/>
        <v/>
      </c>
      <c r="V13" s="144" t="str">
        <f>IF(VLOOKUP($B13,'Satınalma Takvimi Veri Girişi'!$B$4:$AC$146,13,FALSE)&lt;&gt;"",VLOOKUP($B13,'Satınalma Takvimi Veri Girişi'!$B$4:$AC$146,13,FALSE),"")</f>
        <v/>
      </c>
      <c r="W13" s="141">
        <f>VLOOKUP($B13,Şablon!$E$3:$Q$255,9,FALSE)</f>
        <v>10</v>
      </c>
      <c r="X13" s="142" t="str">
        <f t="shared" si="8"/>
        <v/>
      </c>
      <c r="Y13" s="143" t="str">
        <f t="shared" si="9"/>
        <v/>
      </c>
      <c r="Z13" s="144" t="str">
        <f>IF(VLOOKUP($B13,'Satınalma Takvimi Veri Girişi'!$B$4:$AC$146,15,FALSE)&lt;&gt;"",VLOOKUP($B13,'Satınalma Takvimi Veri Girişi'!$B$4:$AC$146,15,FALSE),"")</f>
        <v/>
      </c>
      <c r="AA13" s="141">
        <f>VLOOKUP($B13,Şablon!$E$3:$Q$255,10,FALSE)</f>
        <v>14</v>
      </c>
      <c r="AB13" s="142" t="str">
        <f t="shared" si="10"/>
        <v/>
      </c>
      <c r="AC13" s="143" t="str">
        <f t="shared" si="11"/>
        <v/>
      </c>
      <c r="AD13" s="144" t="str">
        <f>IF(VLOOKUP($B13,'Satınalma Takvimi Veri Girişi'!$B$4:$AC$146,17,FALSE)&lt;&gt;"",VLOOKUP($B13,'Satınalma Takvimi Veri Girişi'!$B$4:$AC$146,17,FALSE),"")</f>
        <v/>
      </c>
      <c r="AE13" s="141">
        <f>(VLOOKUP($B13,Şablon!$E$3:$Q$255,11,FALSE)+VLOOKUP($B13,Şablon!$E$3:$Q$255,12,FALSE))</f>
        <v>14</v>
      </c>
      <c r="AF13" s="142" t="str">
        <f t="shared" si="12"/>
        <v/>
      </c>
      <c r="AG13" s="143" t="str">
        <f t="shared" si="13"/>
        <v/>
      </c>
      <c r="AH13" s="144" t="str">
        <f>IF(VLOOKUP($B13,'Satınalma Takvimi Veri Girişi'!$B$4:$AC$146,19,FALSE)&lt;&gt;"",VLOOKUP($B13,'Satınalma Takvimi Veri Girişi'!$B$4:$AC$146,19,FALSE),"")</f>
        <v/>
      </c>
      <c r="AI13" s="149" t="str">
        <f>IF(VLOOKUP($B13,'Satınalma Takvimi Veri Girişi'!$B$4:$AC$146,20,FALSE)&lt;&gt;"",VLOOKUP($B13,'Satınalma Takvimi Veri Girişi'!$B$4:$AC$146,20,FALSE),"")</f>
        <v/>
      </c>
      <c r="AJ13" s="144" t="str">
        <f>IF(VLOOKUP($B13,'Satınalma Takvimi Veri Girişi'!$B$4:$AC$146,21,FALSE)&lt;&gt;"",VLOOKUP($B13,'Satınalma Takvimi Veri Girişi'!$B$4:$AC$146,21,FALSE),"")</f>
        <v/>
      </c>
      <c r="AK13" s="146" t="str">
        <f>IF(VLOOKUP($B13,'Satınalma Takvimi Veri Girişi'!$B$4:$AC$146,22,FALSE)&lt;&gt;"",VLOOKUP($B13,'Satınalma Takvimi Veri Girişi'!$B$4:$AC$146,22,FALSE),"")</f>
        <v/>
      </c>
      <c r="AL13" s="147" t="str">
        <f>IF(VLOOKUP($B13,'Satınalma Takvimi Veri Girişi'!$B$4:$AC$146,23,FALSE)&lt;&gt;"",VLOOKUP($B13,'Satınalma Takvimi Veri Girişi'!$B$4:$AC$146,23,FALSE),"")</f>
        <v/>
      </c>
      <c r="AM13" s="147" t="str">
        <f>IF(VLOOKUP($B13,'Satınalma Takvimi Veri Girişi'!$B$4:$AC$146,24,FALSE)&lt;&gt;"",VLOOKUP($B13,'Satınalma Takvimi Veri Girişi'!$B$4:$AC$146,24,FALSE),"")</f>
        <v/>
      </c>
      <c r="AN13" s="147" t="str">
        <f>IF(VLOOKUP($B13,'Satınalma Takvimi Veri Girişi'!$B$4:$AC$146,25,FALSE)&lt;&gt;"",VLOOKUP($B13,'Satınalma Takvimi Veri Girişi'!$B$4:$AC$146,25,FALSE),"")</f>
        <v/>
      </c>
      <c r="AO13" s="147" t="str">
        <f>IF(VLOOKUP($B13,'Satınalma Takvimi Veri Girişi'!$B$4:$AC$146,26,FALSE)&lt;&gt;"",VLOOKUP($B13,'Satınalma Takvimi Veri Girişi'!$B$4:$AC$146,26,FALSE),"")</f>
        <v/>
      </c>
      <c r="AP13" s="147" t="str">
        <f>IF(VLOOKUP($B13,'Satınalma Takvimi Veri Girişi'!$B$4:$AC$146,27,FALSE)&lt;&gt;"",VLOOKUP($B13,'Satınalma Takvimi Veri Girişi'!$B$4:$AC$146,27,FALSE),"")</f>
        <v/>
      </c>
      <c r="AQ13" s="148" t="str">
        <f>IF(VLOOKUP($B13,'Satınalma Takvimi Veri Girişi'!$B$4:$AC$146,28,FALSE)&lt;&gt;"",VLOOKUP($B13,'Satınalma Takvimi Veri Girişi'!$B$4:$AC$146,28,FALSE),"")</f>
        <v/>
      </c>
    </row>
    <row r="14" spans="2:43" ht="19.95" customHeight="1" x14ac:dyDescent="0.3">
      <c r="B14" s="64" t="str">
        <f>Şablon!E13</f>
        <v>IHL.3028.011/1</v>
      </c>
      <c r="C14" s="139" t="str">
        <f>VLOOKUP($B14,Şablon!$E$3:$Q$255,2,FALSE)</f>
        <v>11.00.00 KAZIK BAŞI KIRIM İŞLERİ</v>
      </c>
      <c r="D14" s="161" t="str">
        <f>IF(VLOOKUP($B14,'Satınalma Takvimi Veri Girişi'!$B$4:$AC$146,3,FALSE)&lt;&gt;"",VLOOKUP($B14,'Satınalma Takvimi Veri Girişi'!$B$4:$AC$146,3,FALSE),"")</f>
        <v/>
      </c>
      <c r="E14" s="139" t="str">
        <f>VLOOKUP($B14,Şablon!$E$3:$Q$255,3,FALSE)</f>
        <v>B KATEGORİ</v>
      </c>
      <c r="F14" s="140" t="str">
        <f>VLOOKUP($B14,Şablon!$E$3:$Q$255,4,FALSE)</f>
        <v>İNŞ</v>
      </c>
      <c r="G14" s="141">
        <f>VLOOKUP($B14,Şablon!$E$3:$Q$255,5,FALSE)</f>
        <v>0</v>
      </c>
      <c r="H14" s="142" t="str">
        <f t="shared" si="0"/>
        <v/>
      </c>
      <c r="I14" s="143" t="str">
        <f t="shared" si="1"/>
        <v/>
      </c>
      <c r="J14" s="144" t="str">
        <f>IF(VLOOKUP($B14,'Satınalma Takvimi Veri Girişi'!$B$4:$AC$146,7,FALSE)&lt;&gt;"",VLOOKUP($B14,'Satınalma Takvimi Veri Girişi'!$B$4:$AC$146,7,FALSE),"")</f>
        <v/>
      </c>
      <c r="K14" s="141">
        <f>VLOOKUP($B14,Şablon!$E$3:$Q$255,6,FALSE)</f>
        <v>14</v>
      </c>
      <c r="L14" s="142" t="str">
        <f t="shared" si="2"/>
        <v/>
      </c>
      <c r="M14" s="143" t="str">
        <f t="shared" si="3"/>
        <v/>
      </c>
      <c r="N14" s="144" t="str">
        <f>IF(VLOOKUP($B14,'Satınalma Takvimi Veri Girişi'!$B$4:$AC$146,9,FALSE)&lt;&gt;"",VLOOKUP($B14,'Satınalma Takvimi Veri Girişi'!$B$4:$AC$146,9,FALSE),"")</f>
        <v/>
      </c>
      <c r="O14" s="141">
        <f>VLOOKUP($B14,Şablon!$E$3:$Q$255,7,FALSE)</f>
        <v>7</v>
      </c>
      <c r="P14" s="142" t="str">
        <f t="shared" si="4"/>
        <v/>
      </c>
      <c r="Q14" s="143" t="str">
        <f t="shared" si="5"/>
        <v/>
      </c>
      <c r="R14" s="144" t="str">
        <f>IF(VLOOKUP($B14,'Satınalma Takvimi Veri Girişi'!$B$4:$AC$146,11,FALSE)&lt;&gt;"",VLOOKUP($B14,'Satınalma Takvimi Veri Girişi'!$B$4:$AC$146,11,FALSE),"")</f>
        <v/>
      </c>
      <c r="S14" s="141">
        <f>VLOOKUP($B14,Şablon!$E$3:$Q$255,8,FALSE)</f>
        <v>14</v>
      </c>
      <c r="T14" s="142" t="str">
        <f t="shared" si="6"/>
        <v/>
      </c>
      <c r="U14" s="143" t="str">
        <f t="shared" si="7"/>
        <v/>
      </c>
      <c r="V14" s="144" t="str">
        <f>IF(VLOOKUP($B14,'Satınalma Takvimi Veri Girişi'!$B$4:$AC$146,13,FALSE)&lt;&gt;"",VLOOKUP($B14,'Satınalma Takvimi Veri Girişi'!$B$4:$AC$146,13,FALSE),"")</f>
        <v/>
      </c>
      <c r="W14" s="141">
        <f>VLOOKUP($B14,Şablon!$E$3:$Q$255,9,FALSE)</f>
        <v>7</v>
      </c>
      <c r="X14" s="142" t="str">
        <f t="shared" si="8"/>
        <v/>
      </c>
      <c r="Y14" s="143" t="str">
        <f t="shared" si="9"/>
        <v/>
      </c>
      <c r="Z14" s="144" t="str">
        <f>IF(VLOOKUP($B14,'Satınalma Takvimi Veri Girişi'!$B$4:$AC$146,15,FALSE)&lt;&gt;"",VLOOKUP($B14,'Satınalma Takvimi Veri Girişi'!$B$4:$AC$146,15,FALSE),"")</f>
        <v/>
      </c>
      <c r="AA14" s="141">
        <f>VLOOKUP($B14,Şablon!$E$3:$Q$255,10,FALSE)</f>
        <v>7</v>
      </c>
      <c r="AB14" s="142" t="str">
        <f t="shared" si="10"/>
        <v/>
      </c>
      <c r="AC14" s="143" t="str">
        <f t="shared" si="11"/>
        <v/>
      </c>
      <c r="AD14" s="144" t="str">
        <f>IF(VLOOKUP($B14,'Satınalma Takvimi Veri Girişi'!$B$4:$AC$146,17,FALSE)&lt;&gt;"",VLOOKUP($B14,'Satınalma Takvimi Veri Girişi'!$B$4:$AC$146,17,FALSE),"")</f>
        <v/>
      </c>
      <c r="AE14" s="141">
        <f>(VLOOKUP($B14,Şablon!$E$3:$Q$255,11,FALSE)+VLOOKUP($B14,Şablon!$E$3:$Q$255,12,FALSE))</f>
        <v>7</v>
      </c>
      <c r="AF14" s="142" t="str">
        <f t="shared" si="12"/>
        <v/>
      </c>
      <c r="AG14" s="143" t="str">
        <f t="shared" si="13"/>
        <v/>
      </c>
      <c r="AH14" s="144" t="str">
        <f>IF(VLOOKUP($B14,'Satınalma Takvimi Veri Girişi'!$B$4:$AC$146,19,FALSE)&lt;&gt;"",VLOOKUP($B14,'Satınalma Takvimi Veri Girişi'!$B$4:$AC$146,19,FALSE),"")</f>
        <v/>
      </c>
      <c r="AI14" s="145" t="str">
        <f>IF(VLOOKUP($B14,'Satınalma Takvimi Veri Girişi'!$B$4:$AC$146,20,FALSE)&lt;&gt;"",VLOOKUP($B14,'Satınalma Takvimi Veri Girişi'!$B$4:$AC$146,20,FALSE),"")</f>
        <v/>
      </c>
      <c r="AJ14" s="144" t="str">
        <f>IF(VLOOKUP($B14,'Satınalma Takvimi Veri Girişi'!$B$4:$AC$146,21,FALSE)&lt;&gt;"",VLOOKUP($B14,'Satınalma Takvimi Veri Girişi'!$B$4:$AC$146,21,FALSE),"")</f>
        <v/>
      </c>
      <c r="AK14" s="146" t="str">
        <f>IF(VLOOKUP($B14,'Satınalma Takvimi Veri Girişi'!$B$4:$AC$146,22,FALSE)&lt;&gt;"",VLOOKUP($B14,'Satınalma Takvimi Veri Girişi'!$B$4:$AC$146,22,FALSE),"")</f>
        <v/>
      </c>
      <c r="AL14" s="150" t="str">
        <f>IF(VLOOKUP($B14,'Satınalma Takvimi Veri Girişi'!$B$4:$AC$146,23,FALSE)&lt;&gt;"",VLOOKUP($B14,'Satınalma Takvimi Veri Girişi'!$B$4:$AC$146,23,FALSE),"")</f>
        <v/>
      </c>
      <c r="AM14" s="147" t="str">
        <f>IF(VLOOKUP($B14,'Satınalma Takvimi Veri Girişi'!$B$4:$AC$146,24,FALSE)&lt;&gt;"",VLOOKUP($B14,'Satınalma Takvimi Veri Girişi'!$B$4:$AC$146,24,FALSE),"")</f>
        <v/>
      </c>
      <c r="AN14" s="147" t="str">
        <f>IF(VLOOKUP($B14,'Satınalma Takvimi Veri Girişi'!$B$4:$AC$146,25,FALSE)&lt;&gt;"",VLOOKUP($B14,'Satınalma Takvimi Veri Girişi'!$B$4:$AC$146,25,FALSE),"")</f>
        <v/>
      </c>
      <c r="AO14" s="147" t="str">
        <f>IF(VLOOKUP($B14,'Satınalma Takvimi Veri Girişi'!$B$4:$AC$146,26,FALSE)&lt;&gt;"",VLOOKUP($B14,'Satınalma Takvimi Veri Girişi'!$B$4:$AC$146,26,FALSE),"")</f>
        <v/>
      </c>
      <c r="AP14" s="147" t="str">
        <f>IF(VLOOKUP($B14,'Satınalma Takvimi Veri Girişi'!$B$4:$AC$146,27,FALSE)&lt;&gt;"",VLOOKUP($B14,'Satınalma Takvimi Veri Girişi'!$B$4:$AC$146,27,FALSE),"")</f>
        <v/>
      </c>
      <c r="AQ14" s="148" t="str">
        <f>IF(VLOOKUP($B14,'Satınalma Takvimi Veri Girişi'!$B$4:$AC$146,28,FALSE)&lt;&gt;"",VLOOKUP($B14,'Satınalma Takvimi Veri Girişi'!$B$4:$AC$146,28,FALSE),"")</f>
        <v/>
      </c>
    </row>
    <row r="15" spans="2:43" ht="19.95" customHeight="1" x14ac:dyDescent="0.3">
      <c r="B15" s="64" t="str">
        <f>Şablon!E14</f>
        <v>IHL.3028.012/1</v>
      </c>
      <c r="C15" s="139" t="str">
        <f>VLOOKUP($B15,Şablon!$E$3:$Q$255,2,FALSE)</f>
        <v>23.01.00 TEMEL ALTI YALITIM</v>
      </c>
      <c r="D15" s="161" t="str">
        <f>IF(VLOOKUP($B15,'Satınalma Takvimi Veri Girişi'!$B$4:$AC$146,3,FALSE)&lt;&gt;"",VLOOKUP($B15,'Satınalma Takvimi Veri Girişi'!$B$4:$AC$146,3,FALSE),"")</f>
        <v/>
      </c>
      <c r="E15" s="139" t="str">
        <f>VLOOKUP($B15,Şablon!$E$3:$Q$255,3,FALSE)</f>
        <v>A KATEGORİ</v>
      </c>
      <c r="F15" s="140" t="str">
        <f>VLOOKUP($B15,Şablon!$E$3:$Q$255,4,FALSE)</f>
        <v>İNŞ</v>
      </c>
      <c r="G15" s="141">
        <f>VLOOKUP($B15,Şablon!$E$3:$Q$255,5,FALSE)</f>
        <v>0</v>
      </c>
      <c r="H15" s="142" t="str">
        <f t="shared" si="0"/>
        <v/>
      </c>
      <c r="I15" s="143" t="str">
        <f t="shared" si="1"/>
        <v/>
      </c>
      <c r="J15" s="144" t="str">
        <f>IF(VLOOKUP($B15,'Satınalma Takvimi Veri Girişi'!$B$4:$AC$146,7,FALSE)&lt;&gt;"",VLOOKUP($B15,'Satınalma Takvimi Veri Girişi'!$B$4:$AC$146,7,FALSE),"")</f>
        <v/>
      </c>
      <c r="K15" s="141">
        <f>VLOOKUP($B15,Şablon!$E$3:$Q$255,6,FALSE)</f>
        <v>14</v>
      </c>
      <c r="L15" s="142" t="str">
        <f t="shared" si="2"/>
        <v/>
      </c>
      <c r="M15" s="143" t="str">
        <f t="shared" si="3"/>
        <v/>
      </c>
      <c r="N15" s="144" t="str">
        <f>IF(VLOOKUP($B15,'Satınalma Takvimi Veri Girişi'!$B$4:$AC$146,9,FALSE)&lt;&gt;"",VLOOKUP($B15,'Satınalma Takvimi Veri Girişi'!$B$4:$AC$146,9,FALSE),"")</f>
        <v/>
      </c>
      <c r="O15" s="141">
        <f>VLOOKUP($B15,Şablon!$E$3:$Q$255,7,FALSE)</f>
        <v>14</v>
      </c>
      <c r="P15" s="142" t="str">
        <f t="shared" si="4"/>
        <v/>
      </c>
      <c r="Q15" s="143" t="str">
        <f t="shared" si="5"/>
        <v/>
      </c>
      <c r="R15" s="144" t="str">
        <f>IF(VLOOKUP($B15,'Satınalma Takvimi Veri Girişi'!$B$4:$AC$146,11,FALSE)&lt;&gt;"",VLOOKUP($B15,'Satınalma Takvimi Veri Girişi'!$B$4:$AC$146,11,FALSE),"")</f>
        <v/>
      </c>
      <c r="S15" s="141">
        <f>VLOOKUP($B15,Şablon!$E$3:$Q$255,8,FALSE)</f>
        <v>28</v>
      </c>
      <c r="T15" s="142" t="str">
        <f t="shared" si="6"/>
        <v/>
      </c>
      <c r="U15" s="143" t="str">
        <f t="shared" si="7"/>
        <v/>
      </c>
      <c r="V15" s="144" t="str">
        <f>IF(VLOOKUP($B15,'Satınalma Takvimi Veri Girişi'!$B$4:$AC$146,13,FALSE)&lt;&gt;"",VLOOKUP($B15,'Satınalma Takvimi Veri Girişi'!$B$4:$AC$146,13,FALSE),"")</f>
        <v/>
      </c>
      <c r="W15" s="141">
        <f>VLOOKUP($B15,Şablon!$E$3:$Q$255,9,FALSE)</f>
        <v>10</v>
      </c>
      <c r="X15" s="142" t="str">
        <f t="shared" si="8"/>
        <v/>
      </c>
      <c r="Y15" s="143" t="str">
        <f t="shared" si="9"/>
        <v/>
      </c>
      <c r="Z15" s="144" t="str">
        <f>IF(VLOOKUP($B15,'Satınalma Takvimi Veri Girişi'!$B$4:$AC$146,15,FALSE)&lt;&gt;"",VLOOKUP($B15,'Satınalma Takvimi Veri Girişi'!$B$4:$AC$146,15,FALSE),"")</f>
        <v/>
      </c>
      <c r="AA15" s="141">
        <f>VLOOKUP($B15,Şablon!$E$3:$Q$255,10,FALSE)</f>
        <v>21</v>
      </c>
      <c r="AB15" s="142" t="str">
        <f t="shared" si="10"/>
        <v/>
      </c>
      <c r="AC15" s="143" t="str">
        <f t="shared" si="11"/>
        <v/>
      </c>
      <c r="AD15" s="144" t="str">
        <f>IF(VLOOKUP($B15,'Satınalma Takvimi Veri Girişi'!$B$4:$AC$146,17,FALSE)&lt;&gt;"",VLOOKUP($B15,'Satınalma Takvimi Veri Girişi'!$B$4:$AC$146,17,FALSE),"")</f>
        <v/>
      </c>
      <c r="AE15" s="141">
        <f>(VLOOKUP($B15,Şablon!$E$3:$Q$255,11,FALSE)+VLOOKUP($B15,Şablon!$E$3:$Q$255,12,FALSE))</f>
        <v>14</v>
      </c>
      <c r="AF15" s="142" t="str">
        <f t="shared" si="12"/>
        <v/>
      </c>
      <c r="AG15" s="143" t="str">
        <f t="shared" si="13"/>
        <v/>
      </c>
      <c r="AH15" s="144" t="str">
        <f>IF(VLOOKUP($B15,'Satınalma Takvimi Veri Girişi'!$B$4:$AC$146,19,FALSE)&lt;&gt;"",VLOOKUP($B15,'Satınalma Takvimi Veri Girişi'!$B$4:$AC$146,19,FALSE),"")</f>
        <v/>
      </c>
      <c r="AI15" s="145" t="str">
        <f>IF(VLOOKUP($B15,'Satınalma Takvimi Veri Girişi'!$B$4:$AC$146,20,FALSE)&lt;&gt;"",VLOOKUP($B15,'Satınalma Takvimi Veri Girişi'!$B$4:$AC$146,20,FALSE),"")</f>
        <v/>
      </c>
      <c r="AJ15" s="144" t="str">
        <f>IF(VLOOKUP($B15,'Satınalma Takvimi Veri Girişi'!$B$4:$AC$146,21,FALSE)&lt;&gt;"",VLOOKUP($B15,'Satınalma Takvimi Veri Girişi'!$B$4:$AC$146,21,FALSE),"")</f>
        <v/>
      </c>
      <c r="AK15" s="146" t="str">
        <f>IF(VLOOKUP($B15,'Satınalma Takvimi Veri Girişi'!$B$4:$AC$146,22,FALSE)&lt;&gt;"",VLOOKUP($B15,'Satınalma Takvimi Veri Girişi'!$B$4:$AC$146,22,FALSE),"")</f>
        <v/>
      </c>
      <c r="AL15" s="150" t="str">
        <f>IF(VLOOKUP($B15,'Satınalma Takvimi Veri Girişi'!$B$4:$AC$146,23,FALSE)&lt;&gt;"",VLOOKUP($B15,'Satınalma Takvimi Veri Girişi'!$B$4:$AC$146,23,FALSE),"")</f>
        <v/>
      </c>
      <c r="AM15" s="147" t="str">
        <f>IF(VLOOKUP($B15,'Satınalma Takvimi Veri Girişi'!$B$4:$AC$146,24,FALSE)&lt;&gt;"",VLOOKUP($B15,'Satınalma Takvimi Veri Girişi'!$B$4:$AC$146,24,FALSE),"")</f>
        <v/>
      </c>
      <c r="AN15" s="147" t="str">
        <f>IF(VLOOKUP($B15,'Satınalma Takvimi Veri Girişi'!$B$4:$AC$146,25,FALSE)&lt;&gt;"",VLOOKUP($B15,'Satınalma Takvimi Veri Girişi'!$B$4:$AC$146,25,FALSE),"")</f>
        <v/>
      </c>
      <c r="AO15" s="147" t="str">
        <f>IF(VLOOKUP($B15,'Satınalma Takvimi Veri Girişi'!$B$4:$AC$146,26,FALSE)&lt;&gt;"",VLOOKUP($B15,'Satınalma Takvimi Veri Girişi'!$B$4:$AC$146,26,FALSE),"")</f>
        <v/>
      </c>
      <c r="AP15" s="147" t="str">
        <f>IF(VLOOKUP($B15,'Satınalma Takvimi Veri Girişi'!$B$4:$AC$146,27,FALSE)&lt;&gt;"",VLOOKUP($B15,'Satınalma Takvimi Veri Girişi'!$B$4:$AC$146,27,FALSE),"")</f>
        <v/>
      </c>
      <c r="AQ15" s="148" t="str">
        <f>IF(VLOOKUP($B15,'Satınalma Takvimi Veri Girişi'!$B$4:$AC$146,28,FALSE)&lt;&gt;"",VLOOKUP($B15,'Satınalma Takvimi Veri Girişi'!$B$4:$AC$146,28,FALSE),"")</f>
        <v/>
      </c>
    </row>
    <row r="16" spans="2:43" ht="19.95" customHeight="1" x14ac:dyDescent="0.3">
      <c r="B16" s="64" t="str">
        <f>Şablon!E15</f>
        <v>IHL.3028.013/1</v>
      </c>
      <c r="C16" s="139" t="str">
        <f>VLOOKUP($B16,Şablon!$E$3:$Q$255,2,FALSE)</f>
        <v>01.17.04 MOBİL VİNÇ TEMİNİ</v>
      </c>
      <c r="D16" s="161" t="str">
        <f>IF(VLOOKUP($B16,'Satınalma Takvimi Veri Girişi'!$B$4:$AC$146,3,FALSE)&lt;&gt;"",VLOOKUP($B16,'Satınalma Takvimi Veri Girişi'!$B$4:$AC$146,3,FALSE),"")</f>
        <v/>
      </c>
      <c r="E16" s="139" t="str">
        <f>VLOOKUP($B16,Şablon!$E$3:$Q$255,3,FALSE)</f>
        <v>B KATEGORİ</v>
      </c>
      <c r="F16" s="140" t="str">
        <f>VLOOKUP($B16,Şablon!$E$3:$Q$255,4,FALSE)</f>
        <v>İNŞ</v>
      </c>
      <c r="G16" s="141">
        <f>VLOOKUP($B16,Şablon!$E$3:$Q$255,5,FALSE)</f>
        <v>0</v>
      </c>
      <c r="H16" s="142" t="str">
        <f t="shared" si="0"/>
        <v/>
      </c>
      <c r="I16" s="143" t="str">
        <f t="shared" si="1"/>
        <v/>
      </c>
      <c r="J16" s="144" t="str">
        <f>IF(VLOOKUP($B16,'Satınalma Takvimi Veri Girişi'!$B$4:$AC$146,7,FALSE)&lt;&gt;"",VLOOKUP($B16,'Satınalma Takvimi Veri Girişi'!$B$4:$AC$146,7,FALSE),"")</f>
        <v/>
      </c>
      <c r="K16" s="141">
        <f>VLOOKUP($B16,Şablon!$E$3:$Q$255,6,FALSE)</f>
        <v>14</v>
      </c>
      <c r="L16" s="142" t="str">
        <f t="shared" si="2"/>
        <v/>
      </c>
      <c r="M16" s="143" t="str">
        <f t="shared" si="3"/>
        <v/>
      </c>
      <c r="N16" s="144" t="str">
        <f>IF(VLOOKUP($B16,'Satınalma Takvimi Veri Girişi'!$B$4:$AC$146,9,FALSE)&lt;&gt;"",VLOOKUP($B16,'Satınalma Takvimi Veri Girişi'!$B$4:$AC$146,9,FALSE),"")</f>
        <v/>
      </c>
      <c r="O16" s="141">
        <f>VLOOKUP($B16,Şablon!$E$3:$Q$255,7,FALSE)</f>
        <v>7</v>
      </c>
      <c r="P16" s="142" t="str">
        <f t="shared" si="4"/>
        <v/>
      </c>
      <c r="Q16" s="143" t="str">
        <f t="shared" si="5"/>
        <v/>
      </c>
      <c r="R16" s="144" t="str">
        <f>IF(VLOOKUP($B16,'Satınalma Takvimi Veri Girişi'!$B$4:$AC$146,11,FALSE)&lt;&gt;"",VLOOKUP($B16,'Satınalma Takvimi Veri Girişi'!$B$4:$AC$146,11,FALSE),"")</f>
        <v/>
      </c>
      <c r="S16" s="141">
        <f>VLOOKUP($B16,Şablon!$E$3:$Q$255,8,FALSE)</f>
        <v>7</v>
      </c>
      <c r="T16" s="142" t="str">
        <f t="shared" si="6"/>
        <v/>
      </c>
      <c r="U16" s="143" t="str">
        <f t="shared" si="7"/>
        <v/>
      </c>
      <c r="V16" s="144" t="str">
        <f>IF(VLOOKUP($B16,'Satınalma Takvimi Veri Girişi'!$B$4:$AC$146,13,FALSE)&lt;&gt;"",VLOOKUP($B16,'Satınalma Takvimi Veri Girişi'!$B$4:$AC$146,13,FALSE),"")</f>
        <v/>
      </c>
      <c r="W16" s="141">
        <f>VLOOKUP($B16,Şablon!$E$3:$Q$255,9,FALSE)</f>
        <v>7</v>
      </c>
      <c r="X16" s="142" t="str">
        <f t="shared" si="8"/>
        <v/>
      </c>
      <c r="Y16" s="143" t="str">
        <f t="shared" si="9"/>
        <v/>
      </c>
      <c r="Z16" s="144" t="str">
        <f>IF(VLOOKUP($B16,'Satınalma Takvimi Veri Girişi'!$B$4:$AC$146,15,FALSE)&lt;&gt;"",VLOOKUP($B16,'Satınalma Takvimi Veri Girişi'!$B$4:$AC$146,15,FALSE),"")</f>
        <v/>
      </c>
      <c r="AA16" s="141">
        <f>VLOOKUP($B16,Şablon!$E$3:$Q$255,10,FALSE)</f>
        <v>7</v>
      </c>
      <c r="AB16" s="142" t="str">
        <f t="shared" si="10"/>
        <v/>
      </c>
      <c r="AC16" s="143" t="str">
        <f t="shared" si="11"/>
        <v/>
      </c>
      <c r="AD16" s="144" t="str">
        <f>IF(VLOOKUP($B16,'Satınalma Takvimi Veri Girişi'!$B$4:$AC$146,17,FALSE)&lt;&gt;"",VLOOKUP($B16,'Satınalma Takvimi Veri Girişi'!$B$4:$AC$146,17,FALSE),"")</f>
        <v/>
      </c>
      <c r="AE16" s="141">
        <f>(VLOOKUP($B16,Şablon!$E$3:$Q$255,11,FALSE)+VLOOKUP($B16,Şablon!$E$3:$Q$255,12,FALSE))</f>
        <v>7</v>
      </c>
      <c r="AF16" s="142" t="str">
        <f t="shared" si="12"/>
        <v/>
      </c>
      <c r="AG16" s="143" t="str">
        <f t="shared" si="13"/>
        <v/>
      </c>
      <c r="AH16" s="144" t="str">
        <f>IF(VLOOKUP($B16,'Satınalma Takvimi Veri Girişi'!$B$4:$AC$146,19,FALSE)&lt;&gt;"",VLOOKUP($B16,'Satınalma Takvimi Veri Girişi'!$B$4:$AC$146,19,FALSE),"")</f>
        <v/>
      </c>
      <c r="AI16" s="145" t="str">
        <f>IF(VLOOKUP($B16,'Satınalma Takvimi Veri Girişi'!$B$4:$AC$146,20,FALSE)&lt;&gt;"",VLOOKUP($B16,'Satınalma Takvimi Veri Girişi'!$B$4:$AC$146,20,FALSE),"")</f>
        <v/>
      </c>
      <c r="AJ16" s="144" t="str">
        <f>IF(VLOOKUP($B16,'Satınalma Takvimi Veri Girişi'!$B$4:$AC$146,21,FALSE)&lt;&gt;"",VLOOKUP($B16,'Satınalma Takvimi Veri Girişi'!$B$4:$AC$146,21,FALSE),"")</f>
        <v/>
      </c>
      <c r="AK16" s="146" t="str">
        <f>IF(VLOOKUP($B16,'Satınalma Takvimi Veri Girişi'!$B$4:$AC$146,22,FALSE)&lt;&gt;"",VLOOKUP($B16,'Satınalma Takvimi Veri Girişi'!$B$4:$AC$146,22,FALSE),"")</f>
        <v/>
      </c>
      <c r="AL16" s="147" t="str">
        <f>IF(VLOOKUP($B16,'Satınalma Takvimi Veri Girişi'!$B$4:$AC$146,23,FALSE)&lt;&gt;"",VLOOKUP($B16,'Satınalma Takvimi Veri Girişi'!$B$4:$AC$146,23,FALSE),"")</f>
        <v/>
      </c>
      <c r="AM16" s="147" t="str">
        <f>IF(VLOOKUP($B16,'Satınalma Takvimi Veri Girişi'!$B$4:$AC$146,24,FALSE)&lt;&gt;"",VLOOKUP($B16,'Satınalma Takvimi Veri Girişi'!$B$4:$AC$146,24,FALSE),"")</f>
        <v/>
      </c>
      <c r="AN16" s="147" t="str">
        <f>IF(VLOOKUP($B16,'Satınalma Takvimi Veri Girişi'!$B$4:$AC$146,25,FALSE)&lt;&gt;"",VLOOKUP($B16,'Satınalma Takvimi Veri Girişi'!$B$4:$AC$146,25,FALSE),"")</f>
        <v/>
      </c>
      <c r="AO16" s="147" t="str">
        <f>IF(VLOOKUP($B16,'Satınalma Takvimi Veri Girişi'!$B$4:$AC$146,26,FALSE)&lt;&gt;"",VLOOKUP($B16,'Satınalma Takvimi Veri Girişi'!$B$4:$AC$146,26,FALSE),"")</f>
        <v/>
      </c>
      <c r="AP16" s="147" t="str">
        <f>IF(VLOOKUP($B16,'Satınalma Takvimi Veri Girişi'!$B$4:$AC$146,27,FALSE)&lt;&gt;"",VLOOKUP($B16,'Satınalma Takvimi Veri Girişi'!$B$4:$AC$146,27,FALSE),"")</f>
        <v/>
      </c>
      <c r="AQ16" s="148" t="str">
        <f>IF(VLOOKUP($B16,'Satınalma Takvimi Veri Girişi'!$B$4:$AC$146,28,FALSE)&lt;&gt;"",VLOOKUP($B16,'Satınalma Takvimi Veri Girişi'!$B$4:$AC$146,28,FALSE),"")</f>
        <v/>
      </c>
    </row>
    <row r="17" spans="2:43" ht="19.95" customHeight="1" x14ac:dyDescent="0.3">
      <c r="B17" s="64" t="str">
        <f>Şablon!E16</f>
        <v>IHL.3028.014/1</v>
      </c>
      <c r="C17" s="139" t="str">
        <f>VLOOKUP($B17,Şablon!$E$3:$Q$255,2,FALSE)</f>
        <v>13.01.00 KABA YAPI İŞLERİ</v>
      </c>
      <c r="D17" s="161" t="str">
        <f>IF(VLOOKUP($B17,'Satınalma Takvimi Veri Girişi'!$B$4:$AC$146,3,FALSE)&lt;&gt;"",VLOOKUP($B17,'Satınalma Takvimi Veri Girişi'!$B$4:$AC$146,3,FALSE),"")</f>
        <v/>
      </c>
      <c r="E17" s="139" t="str">
        <f>VLOOKUP($B17,Şablon!$E$3:$Q$255,3,FALSE)</f>
        <v>A KATEGORİ</v>
      </c>
      <c r="F17" s="140" t="str">
        <f>VLOOKUP($B17,Şablon!$E$3:$Q$255,4,FALSE)</f>
        <v>İNŞ</v>
      </c>
      <c r="G17" s="141">
        <f>VLOOKUP($B17,Şablon!$E$3:$Q$255,5,FALSE)</f>
        <v>0</v>
      </c>
      <c r="H17" s="142" t="str">
        <f t="shared" si="0"/>
        <v/>
      </c>
      <c r="I17" s="143" t="str">
        <f t="shared" si="1"/>
        <v/>
      </c>
      <c r="J17" s="144" t="str">
        <f>IF(VLOOKUP($B17,'Satınalma Takvimi Veri Girişi'!$B$4:$AC$146,7,FALSE)&lt;&gt;"",VLOOKUP($B17,'Satınalma Takvimi Veri Girişi'!$B$4:$AC$146,7,FALSE),"")</f>
        <v/>
      </c>
      <c r="K17" s="141">
        <f>VLOOKUP($B17,Şablon!$E$3:$Q$255,6,FALSE)</f>
        <v>21</v>
      </c>
      <c r="L17" s="142" t="str">
        <f t="shared" si="2"/>
        <v/>
      </c>
      <c r="M17" s="143" t="str">
        <f t="shared" si="3"/>
        <v/>
      </c>
      <c r="N17" s="144" t="str">
        <f>IF(VLOOKUP($B17,'Satınalma Takvimi Veri Girişi'!$B$4:$AC$146,9,FALSE)&lt;&gt;"",VLOOKUP($B17,'Satınalma Takvimi Veri Girişi'!$B$4:$AC$146,9,FALSE),"")</f>
        <v/>
      </c>
      <c r="O17" s="141">
        <f>VLOOKUP($B17,Şablon!$E$3:$Q$255,7,FALSE)</f>
        <v>21</v>
      </c>
      <c r="P17" s="142" t="str">
        <f t="shared" si="4"/>
        <v/>
      </c>
      <c r="Q17" s="143" t="str">
        <f t="shared" si="5"/>
        <v/>
      </c>
      <c r="R17" s="144" t="str">
        <f>IF(VLOOKUP($B17,'Satınalma Takvimi Veri Girişi'!$B$4:$AC$146,11,FALSE)&lt;&gt;"",VLOOKUP($B17,'Satınalma Takvimi Veri Girişi'!$B$4:$AC$146,11,FALSE),"")</f>
        <v/>
      </c>
      <c r="S17" s="141">
        <f>VLOOKUP($B17,Şablon!$E$3:$Q$255,8,FALSE)</f>
        <v>45</v>
      </c>
      <c r="T17" s="142" t="str">
        <f t="shared" si="6"/>
        <v/>
      </c>
      <c r="U17" s="143" t="str">
        <f t="shared" si="7"/>
        <v/>
      </c>
      <c r="V17" s="144" t="str">
        <f>IF(VLOOKUP($B17,'Satınalma Takvimi Veri Girişi'!$B$4:$AC$146,13,FALSE)&lt;&gt;"",VLOOKUP($B17,'Satınalma Takvimi Veri Girişi'!$B$4:$AC$146,13,FALSE),"")</f>
        <v/>
      </c>
      <c r="W17" s="141">
        <f>VLOOKUP($B17,Şablon!$E$3:$Q$255,9,FALSE)</f>
        <v>10</v>
      </c>
      <c r="X17" s="142" t="str">
        <f t="shared" si="8"/>
        <v/>
      </c>
      <c r="Y17" s="143" t="str">
        <f t="shared" si="9"/>
        <v/>
      </c>
      <c r="Z17" s="144" t="str">
        <f>IF(VLOOKUP($B17,'Satınalma Takvimi Veri Girişi'!$B$4:$AC$146,15,FALSE)&lt;&gt;"",VLOOKUP($B17,'Satınalma Takvimi Veri Girişi'!$B$4:$AC$146,15,FALSE),"")</f>
        <v/>
      </c>
      <c r="AA17" s="141">
        <f>VLOOKUP($B17,Şablon!$E$3:$Q$255,10,FALSE)</f>
        <v>21</v>
      </c>
      <c r="AB17" s="142" t="str">
        <f t="shared" si="10"/>
        <v/>
      </c>
      <c r="AC17" s="143" t="str">
        <f t="shared" si="11"/>
        <v/>
      </c>
      <c r="AD17" s="144" t="str">
        <f>IF(VLOOKUP($B17,'Satınalma Takvimi Veri Girişi'!$B$4:$AC$146,17,FALSE)&lt;&gt;"",VLOOKUP($B17,'Satınalma Takvimi Veri Girişi'!$B$4:$AC$146,17,FALSE),"")</f>
        <v/>
      </c>
      <c r="AE17" s="141">
        <f>(VLOOKUP($B17,Şablon!$E$3:$Q$255,11,FALSE)+VLOOKUP($B17,Şablon!$E$3:$Q$255,12,FALSE))</f>
        <v>14</v>
      </c>
      <c r="AF17" s="142" t="str">
        <f t="shared" si="12"/>
        <v/>
      </c>
      <c r="AG17" s="143" t="str">
        <f t="shared" si="13"/>
        <v/>
      </c>
      <c r="AH17" s="144" t="str">
        <f>IF(VLOOKUP($B17,'Satınalma Takvimi Veri Girişi'!$B$4:$AC$146,19,FALSE)&lt;&gt;"",VLOOKUP($B17,'Satınalma Takvimi Veri Girişi'!$B$4:$AC$146,19,FALSE),"")</f>
        <v/>
      </c>
      <c r="AI17" s="145" t="str">
        <f>IF(VLOOKUP($B17,'Satınalma Takvimi Veri Girişi'!$B$4:$AC$146,20,FALSE)&lt;&gt;"",VLOOKUP($B17,'Satınalma Takvimi Veri Girişi'!$B$4:$AC$146,20,FALSE),"")</f>
        <v/>
      </c>
      <c r="AJ17" s="144" t="str">
        <f>IF(VLOOKUP($B17,'Satınalma Takvimi Veri Girişi'!$B$4:$AC$146,21,FALSE)&lt;&gt;"",VLOOKUP($B17,'Satınalma Takvimi Veri Girişi'!$B$4:$AC$146,21,FALSE),"")</f>
        <v/>
      </c>
      <c r="AK17" s="146" t="str">
        <f>IF(VLOOKUP($B17,'Satınalma Takvimi Veri Girişi'!$B$4:$AC$146,22,FALSE)&lt;&gt;"",VLOOKUP($B17,'Satınalma Takvimi Veri Girişi'!$B$4:$AC$146,22,FALSE),"")</f>
        <v/>
      </c>
      <c r="AL17" s="147" t="str">
        <f>IF(VLOOKUP($B17,'Satınalma Takvimi Veri Girişi'!$B$4:$AC$146,23,FALSE)&lt;&gt;"",VLOOKUP($B17,'Satınalma Takvimi Veri Girişi'!$B$4:$AC$146,23,FALSE),"")</f>
        <v/>
      </c>
      <c r="AM17" s="147" t="str">
        <f>IF(VLOOKUP($B17,'Satınalma Takvimi Veri Girişi'!$B$4:$AC$146,24,FALSE)&lt;&gt;"",VLOOKUP($B17,'Satınalma Takvimi Veri Girişi'!$B$4:$AC$146,24,FALSE),"")</f>
        <v/>
      </c>
      <c r="AN17" s="147" t="str">
        <f>IF(VLOOKUP($B17,'Satınalma Takvimi Veri Girişi'!$B$4:$AC$146,25,FALSE)&lt;&gt;"",VLOOKUP($B17,'Satınalma Takvimi Veri Girişi'!$B$4:$AC$146,25,FALSE),"")</f>
        <v/>
      </c>
      <c r="AO17" s="147" t="str">
        <f>IF(VLOOKUP($B17,'Satınalma Takvimi Veri Girişi'!$B$4:$AC$146,26,FALSE)&lt;&gt;"",VLOOKUP($B17,'Satınalma Takvimi Veri Girişi'!$B$4:$AC$146,26,FALSE),"")</f>
        <v/>
      </c>
      <c r="AP17" s="147" t="str">
        <f>IF(VLOOKUP($B17,'Satınalma Takvimi Veri Girişi'!$B$4:$AC$146,27,FALSE)&lt;&gt;"",VLOOKUP($B17,'Satınalma Takvimi Veri Girişi'!$B$4:$AC$146,27,FALSE),"")</f>
        <v/>
      </c>
      <c r="AQ17" s="148" t="str">
        <f>IF(VLOOKUP($B17,'Satınalma Takvimi Veri Girişi'!$B$4:$AC$146,28,FALSE)&lt;&gt;"",VLOOKUP($B17,'Satınalma Takvimi Veri Girişi'!$B$4:$AC$146,28,FALSE),"")</f>
        <v/>
      </c>
    </row>
    <row r="18" spans="2:43" ht="19.95" customHeight="1" x14ac:dyDescent="0.3">
      <c r="B18" s="64" t="str">
        <f>Şablon!E17</f>
        <v>IHL.3028.015/1</v>
      </c>
      <c r="C18" s="139" t="str">
        <f>VLOOKUP($B18,Şablon!$E$3:$Q$255,2,FALSE)</f>
        <v>13.02.01 ÇELİK ANKRAJ PLAKA İŞLERİ</v>
      </c>
      <c r="D18" s="161" t="str">
        <f>IF(VLOOKUP($B18,'Satınalma Takvimi Veri Girişi'!$B$4:$AC$146,3,FALSE)&lt;&gt;"",VLOOKUP($B18,'Satınalma Takvimi Veri Girişi'!$B$4:$AC$146,3,FALSE),"")</f>
        <v/>
      </c>
      <c r="E18" s="139" t="str">
        <f>VLOOKUP($B18,Şablon!$E$3:$Q$255,3,FALSE)</f>
        <v>B KATEGORİ</v>
      </c>
      <c r="F18" s="140" t="str">
        <f>VLOOKUP($B18,Şablon!$E$3:$Q$255,4,FALSE)</f>
        <v>İNŞ</v>
      </c>
      <c r="G18" s="141">
        <f>VLOOKUP($B18,Şablon!$E$3:$Q$255,5,FALSE)</f>
        <v>0</v>
      </c>
      <c r="H18" s="142" t="str">
        <f t="shared" si="0"/>
        <v/>
      </c>
      <c r="I18" s="143" t="str">
        <f t="shared" si="1"/>
        <v/>
      </c>
      <c r="J18" s="144" t="str">
        <f>IF(VLOOKUP($B18,'Satınalma Takvimi Veri Girişi'!$B$4:$AC$146,7,FALSE)&lt;&gt;"",VLOOKUP($B18,'Satınalma Takvimi Veri Girişi'!$B$4:$AC$146,7,FALSE),"")</f>
        <v/>
      </c>
      <c r="K18" s="141">
        <f>VLOOKUP($B18,Şablon!$E$3:$Q$255,6,FALSE)</f>
        <v>14</v>
      </c>
      <c r="L18" s="142" t="str">
        <f t="shared" si="2"/>
        <v/>
      </c>
      <c r="M18" s="143" t="str">
        <f t="shared" si="3"/>
        <v/>
      </c>
      <c r="N18" s="144" t="str">
        <f>IF(VLOOKUP($B18,'Satınalma Takvimi Veri Girişi'!$B$4:$AC$146,9,FALSE)&lt;&gt;"",VLOOKUP($B18,'Satınalma Takvimi Veri Girişi'!$B$4:$AC$146,9,FALSE),"")</f>
        <v/>
      </c>
      <c r="O18" s="141">
        <f>VLOOKUP($B18,Şablon!$E$3:$Q$255,7,FALSE)</f>
        <v>7</v>
      </c>
      <c r="P18" s="142" t="str">
        <f t="shared" si="4"/>
        <v/>
      </c>
      <c r="Q18" s="143" t="str">
        <f t="shared" si="5"/>
        <v/>
      </c>
      <c r="R18" s="144" t="str">
        <f>IF(VLOOKUP($B18,'Satınalma Takvimi Veri Girişi'!$B$4:$AC$146,11,FALSE)&lt;&gt;"",VLOOKUP($B18,'Satınalma Takvimi Veri Girişi'!$B$4:$AC$146,11,FALSE),"")</f>
        <v/>
      </c>
      <c r="S18" s="141">
        <f>VLOOKUP($B18,Şablon!$E$3:$Q$255,8,FALSE)</f>
        <v>7</v>
      </c>
      <c r="T18" s="142" t="str">
        <f t="shared" si="6"/>
        <v/>
      </c>
      <c r="U18" s="143" t="str">
        <f t="shared" si="7"/>
        <v/>
      </c>
      <c r="V18" s="144" t="str">
        <f>IF(VLOOKUP($B18,'Satınalma Takvimi Veri Girişi'!$B$4:$AC$146,13,FALSE)&lt;&gt;"",VLOOKUP($B18,'Satınalma Takvimi Veri Girişi'!$B$4:$AC$146,13,FALSE),"")</f>
        <v/>
      </c>
      <c r="W18" s="141">
        <f>VLOOKUP($B18,Şablon!$E$3:$Q$255,9,FALSE)</f>
        <v>7</v>
      </c>
      <c r="X18" s="142" t="str">
        <f t="shared" si="8"/>
        <v/>
      </c>
      <c r="Y18" s="143" t="str">
        <f t="shared" si="9"/>
        <v/>
      </c>
      <c r="Z18" s="144" t="str">
        <f>IF(VLOOKUP($B18,'Satınalma Takvimi Veri Girişi'!$B$4:$AC$146,15,FALSE)&lt;&gt;"",VLOOKUP($B18,'Satınalma Takvimi Veri Girişi'!$B$4:$AC$146,15,FALSE),"")</f>
        <v/>
      </c>
      <c r="AA18" s="141">
        <f>VLOOKUP($B18,Şablon!$E$3:$Q$255,10,FALSE)</f>
        <v>7</v>
      </c>
      <c r="AB18" s="142" t="str">
        <f t="shared" si="10"/>
        <v/>
      </c>
      <c r="AC18" s="143" t="str">
        <f t="shared" si="11"/>
        <v/>
      </c>
      <c r="AD18" s="144" t="str">
        <f>IF(VLOOKUP($B18,'Satınalma Takvimi Veri Girişi'!$B$4:$AC$146,17,FALSE)&lt;&gt;"",VLOOKUP($B18,'Satınalma Takvimi Veri Girişi'!$B$4:$AC$146,17,FALSE),"")</f>
        <v/>
      </c>
      <c r="AE18" s="141">
        <f>(VLOOKUP($B18,Şablon!$E$3:$Q$255,11,FALSE)+VLOOKUP($B18,Şablon!$E$3:$Q$255,12,FALSE))</f>
        <v>14</v>
      </c>
      <c r="AF18" s="142" t="str">
        <f t="shared" si="12"/>
        <v/>
      </c>
      <c r="AG18" s="143" t="str">
        <f t="shared" si="13"/>
        <v/>
      </c>
      <c r="AH18" s="144" t="str">
        <f>IF(VLOOKUP($B18,'Satınalma Takvimi Veri Girişi'!$B$4:$AC$146,19,FALSE)&lt;&gt;"",VLOOKUP($B18,'Satınalma Takvimi Veri Girişi'!$B$4:$AC$146,19,FALSE),"")</f>
        <v/>
      </c>
      <c r="AI18" s="145" t="str">
        <f>IF(VLOOKUP($B18,'Satınalma Takvimi Veri Girişi'!$B$4:$AC$146,20,FALSE)&lt;&gt;"",VLOOKUP($B18,'Satınalma Takvimi Veri Girişi'!$B$4:$AC$146,20,FALSE),"")</f>
        <v/>
      </c>
      <c r="AJ18" s="144" t="str">
        <f>IF(VLOOKUP($B18,'Satınalma Takvimi Veri Girişi'!$B$4:$AC$146,21,FALSE)&lt;&gt;"",VLOOKUP($B18,'Satınalma Takvimi Veri Girişi'!$B$4:$AC$146,21,FALSE),"")</f>
        <v/>
      </c>
      <c r="AK18" s="146" t="str">
        <f>IF(VLOOKUP($B18,'Satınalma Takvimi Veri Girişi'!$B$4:$AC$146,22,FALSE)&lt;&gt;"",VLOOKUP($B18,'Satınalma Takvimi Veri Girişi'!$B$4:$AC$146,22,FALSE),"")</f>
        <v/>
      </c>
      <c r="AL18" s="147" t="str">
        <f>IF(VLOOKUP($B18,'Satınalma Takvimi Veri Girişi'!$B$4:$AC$146,23,FALSE)&lt;&gt;"",VLOOKUP($B18,'Satınalma Takvimi Veri Girişi'!$B$4:$AC$146,23,FALSE),"")</f>
        <v/>
      </c>
      <c r="AM18" s="147" t="str">
        <f>IF(VLOOKUP($B18,'Satınalma Takvimi Veri Girişi'!$B$4:$AC$146,24,FALSE)&lt;&gt;"",VLOOKUP($B18,'Satınalma Takvimi Veri Girişi'!$B$4:$AC$146,24,FALSE),"")</f>
        <v/>
      </c>
      <c r="AN18" s="147" t="str">
        <f>IF(VLOOKUP($B18,'Satınalma Takvimi Veri Girişi'!$B$4:$AC$146,25,FALSE)&lt;&gt;"",VLOOKUP($B18,'Satınalma Takvimi Veri Girişi'!$B$4:$AC$146,25,FALSE),"")</f>
        <v/>
      </c>
      <c r="AO18" s="147" t="str">
        <f>IF(VLOOKUP($B18,'Satınalma Takvimi Veri Girişi'!$B$4:$AC$146,26,FALSE)&lt;&gt;"",VLOOKUP($B18,'Satınalma Takvimi Veri Girişi'!$B$4:$AC$146,26,FALSE),"")</f>
        <v/>
      </c>
      <c r="AP18" s="147" t="str">
        <f>IF(VLOOKUP($B18,'Satınalma Takvimi Veri Girişi'!$B$4:$AC$146,27,FALSE)&lt;&gt;"",VLOOKUP($B18,'Satınalma Takvimi Veri Girişi'!$B$4:$AC$146,27,FALSE),"")</f>
        <v/>
      </c>
      <c r="AQ18" s="148" t="str">
        <f>IF(VLOOKUP($B18,'Satınalma Takvimi Veri Girişi'!$B$4:$AC$146,28,FALSE)&lt;&gt;"",VLOOKUP($B18,'Satınalma Takvimi Veri Girişi'!$B$4:$AC$146,28,FALSE),"")</f>
        <v/>
      </c>
    </row>
    <row r="19" spans="2:43" ht="19.95" customHeight="1" x14ac:dyDescent="0.3">
      <c r="B19" s="64" t="str">
        <f>Şablon!E18</f>
        <v>IHL.3028.016/1</v>
      </c>
      <c r="C19" s="139" t="str">
        <f>VLOOKUP($B19,Şablon!$E$3:$Q$255,2,FALSE)</f>
        <v>01.17.01 KULE VİNÇ KİRALAMA &amp; SERVİS</v>
      </c>
      <c r="D19" s="161" t="str">
        <f>IF(VLOOKUP($B19,'Satınalma Takvimi Veri Girişi'!$B$4:$AC$146,3,FALSE)&lt;&gt;"",VLOOKUP($B19,'Satınalma Takvimi Veri Girişi'!$B$4:$AC$146,3,FALSE),"")</f>
        <v/>
      </c>
      <c r="E19" s="139" t="str">
        <f>VLOOKUP($B19,Şablon!$E$3:$Q$255,3,FALSE)</f>
        <v>B KATEGORİ</v>
      </c>
      <c r="F19" s="140" t="str">
        <f>VLOOKUP($B19,Şablon!$E$3:$Q$255,4,FALSE)</f>
        <v>İNŞ</v>
      </c>
      <c r="G19" s="141">
        <f>VLOOKUP($B19,Şablon!$E$3:$Q$255,5,FALSE)</f>
        <v>0</v>
      </c>
      <c r="H19" s="142" t="str">
        <f t="shared" si="0"/>
        <v/>
      </c>
      <c r="I19" s="143" t="str">
        <f t="shared" si="1"/>
        <v/>
      </c>
      <c r="J19" s="144" t="str">
        <f>IF(VLOOKUP($B19,'Satınalma Takvimi Veri Girişi'!$B$4:$AC$146,7,FALSE)&lt;&gt;"",VLOOKUP($B19,'Satınalma Takvimi Veri Girişi'!$B$4:$AC$146,7,FALSE),"")</f>
        <v/>
      </c>
      <c r="K19" s="141">
        <f>VLOOKUP($B19,Şablon!$E$3:$Q$255,6,FALSE)</f>
        <v>14</v>
      </c>
      <c r="L19" s="142" t="str">
        <f t="shared" si="2"/>
        <v/>
      </c>
      <c r="M19" s="143" t="str">
        <f t="shared" si="3"/>
        <v/>
      </c>
      <c r="N19" s="144" t="str">
        <f>IF(VLOOKUP($B19,'Satınalma Takvimi Veri Girişi'!$B$4:$AC$146,9,FALSE)&lt;&gt;"",VLOOKUP($B19,'Satınalma Takvimi Veri Girişi'!$B$4:$AC$146,9,FALSE),"")</f>
        <v/>
      </c>
      <c r="O19" s="141">
        <f>VLOOKUP($B19,Şablon!$E$3:$Q$255,7,FALSE)</f>
        <v>7</v>
      </c>
      <c r="P19" s="142" t="str">
        <f t="shared" si="4"/>
        <v/>
      </c>
      <c r="Q19" s="143" t="str">
        <f t="shared" si="5"/>
        <v/>
      </c>
      <c r="R19" s="144" t="str">
        <f>IF(VLOOKUP($B19,'Satınalma Takvimi Veri Girişi'!$B$4:$AC$146,11,FALSE)&lt;&gt;"",VLOOKUP($B19,'Satınalma Takvimi Veri Girişi'!$B$4:$AC$146,11,FALSE),"")</f>
        <v/>
      </c>
      <c r="S19" s="141">
        <f>VLOOKUP($B19,Şablon!$E$3:$Q$255,8,FALSE)</f>
        <v>21</v>
      </c>
      <c r="T19" s="142" t="str">
        <f t="shared" si="6"/>
        <v/>
      </c>
      <c r="U19" s="143" t="str">
        <f t="shared" si="7"/>
        <v/>
      </c>
      <c r="V19" s="144" t="str">
        <f>IF(VLOOKUP($B19,'Satınalma Takvimi Veri Girişi'!$B$4:$AC$146,13,FALSE)&lt;&gt;"",VLOOKUP($B19,'Satınalma Takvimi Veri Girişi'!$B$4:$AC$146,13,FALSE),"")</f>
        <v/>
      </c>
      <c r="W19" s="141">
        <f>VLOOKUP($B19,Şablon!$E$3:$Q$255,9,FALSE)</f>
        <v>7</v>
      </c>
      <c r="X19" s="142" t="str">
        <f t="shared" si="8"/>
        <v/>
      </c>
      <c r="Y19" s="143" t="str">
        <f t="shared" si="9"/>
        <v/>
      </c>
      <c r="Z19" s="144" t="str">
        <f>IF(VLOOKUP($B19,'Satınalma Takvimi Veri Girişi'!$B$4:$AC$146,15,FALSE)&lt;&gt;"",VLOOKUP($B19,'Satınalma Takvimi Veri Girişi'!$B$4:$AC$146,15,FALSE),"")</f>
        <v/>
      </c>
      <c r="AA19" s="141">
        <f>VLOOKUP($B19,Şablon!$E$3:$Q$255,10,FALSE)</f>
        <v>7</v>
      </c>
      <c r="AB19" s="142" t="str">
        <f t="shared" si="10"/>
        <v/>
      </c>
      <c r="AC19" s="143" t="str">
        <f t="shared" si="11"/>
        <v/>
      </c>
      <c r="AD19" s="144" t="str">
        <f>IF(VLOOKUP($B19,'Satınalma Takvimi Veri Girişi'!$B$4:$AC$146,17,FALSE)&lt;&gt;"",VLOOKUP($B19,'Satınalma Takvimi Veri Girişi'!$B$4:$AC$146,17,FALSE),"")</f>
        <v/>
      </c>
      <c r="AE19" s="141">
        <f>(VLOOKUP($B19,Şablon!$E$3:$Q$255,11,FALSE)+VLOOKUP($B19,Şablon!$E$3:$Q$255,12,FALSE))</f>
        <v>14</v>
      </c>
      <c r="AF19" s="142" t="str">
        <f t="shared" si="12"/>
        <v/>
      </c>
      <c r="AG19" s="143" t="str">
        <f t="shared" si="13"/>
        <v/>
      </c>
      <c r="AH19" s="144" t="str">
        <f>IF(VLOOKUP($B19,'Satınalma Takvimi Veri Girişi'!$B$4:$AC$146,19,FALSE)&lt;&gt;"",VLOOKUP($B19,'Satınalma Takvimi Veri Girişi'!$B$4:$AC$146,19,FALSE),"")</f>
        <v/>
      </c>
      <c r="AI19" s="145" t="str">
        <f>IF(VLOOKUP($B19,'Satınalma Takvimi Veri Girişi'!$B$4:$AC$146,20,FALSE)&lt;&gt;"",VLOOKUP($B19,'Satınalma Takvimi Veri Girişi'!$B$4:$AC$146,20,FALSE),"")</f>
        <v/>
      </c>
      <c r="AJ19" s="144" t="str">
        <f>IF(VLOOKUP($B19,'Satınalma Takvimi Veri Girişi'!$B$4:$AC$146,21,FALSE)&lt;&gt;"",VLOOKUP($B19,'Satınalma Takvimi Veri Girişi'!$B$4:$AC$146,21,FALSE),"")</f>
        <v/>
      </c>
      <c r="AK19" s="146" t="str">
        <f>IF(VLOOKUP($B19,'Satınalma Takvimi Veri Girişi'!$B$4:$AC$146,22,FALSE)&lt;&gt;"",VLOOKUP($B19,'Satınalma Takvimi Veri Girişi'!$B$4:$AC$146,22,FALSE),"")</f>
        <v/>
      </c>
      <c r="AL19" s="147" t="str">
        <f>IF(VLOOKUP($B19,'Satınalma Takvimi Veri Girişi'!$B$4:$AC$146,23,FALSE)&lt;&gt;"",VLOOKUP($B19,'Satınalma Takvimi Veri Girişi'!$B$4:$AC$146,23,FALSE),"")</f>
        <v/>
      </c>
      <c r="AM19" s="147" t="str">
        <f>IF(VLOOKUP($B19,'Satınalma Takvimi Veri Girişi'!$B$4:$AC$146,24,FALSE)&lt;&gt;"",VLOOKUP($B19,'Satınalma Takvimi Veri Girişi'!$B$4:$AC$146,24,FALSE),"")</f>
        <v/>
      </c>
      <c r="AN19" s="147" t="str">
        <f>IF(VLOOKUP($B19,'Satınalma Takvimi Veri Girişi'!$B$4:$AC$146,25,FALSE)&lt;&gt;"",VLOOKUP($B19,'Satınalma Takvimi Veri Girişi'!$B$4:$AC$146,25,FALSE),"")</f>
        <v/>
      </c>
      <c r="AO19" s="147" t="str">
        <f>IF(VLOOKUP($B19,'Satınalma Takvimi Veri Girişi'!$B$4:$AC$146,26,FALSE)&lt;&gt;"",VLOOKUP($B19,'Satınalma Takvimi Veri Girişi'!$B$4:$AC$146,26,FALSE),"")</f>
        <v/>
      </c>
      <c r="AP19" s="147" t="str">
        <f>IF(VLOOKUP($B19,'Satınalma Takvimi Veri Girişi'!$B$4:$AC$146,27,FALSE)&lt;&gt;"",VLOOKUP($B19,'Satınalma Takvimi Veri Girişi'!$B$4:$AC$146,27,FALSE),"")</f>
        <v/>
      </c>
      <c r="AQ19" s="148" t="str">
        <f>IF(VLOOKUP($B19,'Satınalma Takvimi Veri Girişi'!$B$4:$AC$146,28,FALSE)&lt;&gt;"",VLOOKUP($B19,'Satınalma Takvimi Veri Girişi'!$B$4:$AC$146,28,FALSE),"")</f>
        <v/>
      </c>
    </row>
    <row r="20" spans="2:43" ht="19.95" customHeight="1" x14ac:dyDescent="0.3">
      <c r="B20" s="64" t="str">
        <f>Şablon!E19</f>
        <v>IHL.3028.017/1</v>
      </c>
      <c r="C20" s="139" t="str">
        <f>VLOOKUP($B20,Şablon!$E$3:$Q$255,2,FALSE)</f>
        <v>01.18.01 GÜVENLİK AĞI TEMİN VE MONTAJ İMALATLARI</v>
      </c>
      <c r="D20" s="161" t="str">
        <f>IF(VLOOKUP($B20,'Satınalma Takvimi Veri Girişi'!$B$4:$AC$146,3,FALSE)&lt;&gt;"",VLOOKUP($B20,'Satınalma Takvimi Veri Girişi'!$B$4:$AC$146,3,FALSE),"")</f>
        <v/>
      </c>
      <c r="E20" s="139" t="str">
        <f>VLOOKUP($B20,Şablon!$E$3:$Q$255,3,FALSE)</f>
        <v>B KATEGORİ</v>
      </c>
      <c r="F20" s="140" t="str">
        <f>VLOOKUP($B20,Şablon!$E$3:$Q$255,4,FALSE)</f>
        <v>İNŞ</v>
      </c>
      <c r="G20" s="141">
        <f>VLOOKUP($B20,Şablon!$E$3:$Q$255,5,FALSE)</f>
        <v>0</v>
      </c>
      <c r="H20" s="142" t="str">
        <f t="shared" si="0"/>
        <v/>
      </c>
      <c r="I20" s="143" t="str">
        <f t="shared" si="1"/>
        <v/>
      </c>
      <c r="J20" s="144" t="str">
        <f>IF(VLOOKUP($B20,'Satınalma Takvimi Veri Girişi'!$B$4:$AC$146,7,FALSE)&lt;&gt;"",VLOOKUP($B20,'Satınalma Takvimi Veri Girişi'!$B$4:$AC$146,7,FALSE),"")</f>
        <v/>
      </c>
      <c r="K20" s="141">
        <f>VLOOKUP($B20,Şablon!$E$3:$Q$255,6,FALSE)</f>
        <v>14</v>
      </c>
      <c r="L20" s="142" t="str">
        <f t="shared" si="2"/>
        <v/>
      </c>
      <c r="M20" s="143" t="str">
        <f t="shared" si="3"/>
        <v/>
      </c>
      <c r="N20" s="144" t="str">
        <f>IF(VLOOKUP($B20,'Satınalma Takvimi Veri Girişi'!$B$4:$AC$146,9,FALSE)&lt;&gt;"",VLOOKUP($B20,'Satınalma Takvimi Veri Girişi'!$B$4:$AC$146,9,FALSE),"")</f>
        <v/>
      </c>
      <c r="O20" s="141">
        <f>VLOOKUP($B20,Şablon!$E$3:$Q$255,7,FALSE)</f>
        <v>7</v>
      </c>
      <c r="P20" s="142" t="str">
        <f t="shared" si="4"/>
        <v/>
      </c>
      <c r="Q20" s="143" t="str">
        <f t="shared" si="5"/>
        <v/>
      </c>
      <c r="R20" s="144" t="str">
        <f>IF(VLOOKUP($B20,'Satınalma Takvimi Veri Girişi'!$B$4:$AC$146,11,FALSE)&lt;&gt;"",VLOOKUP($B20,'Satınalma Takvimi Veri Girişi'!$B$4:$AC$146,11,FALSE),"")</f>
        <v/>
      </c>
      <c r="S20" s="141">
        <f>VLOOKUP($B20,Şablon!$E$3:$Q$255,8,FALSE)</f>
        <v>14</v>
      </c>
      <c r="T20" s="142" t="str">
        <f t="shared" si="6"/>
        <v/>
      </c>
      <c r="U20" s="143" t="str">
        <f t="shared" si="7"/>
        <v/>
      </c>
      <c r="V20" s="144" t="str">
        <f>IF(VLOOKUP($B20,'Satınalma Takvimi Veri Girişi'!$B$4:$AC$146,13,FALSE)&lt;&gt;"",VLOOKUP($B20,'Satınalma Takvimi Veri Girişi'!$B$4:$AC$146,13,FALSE),"")</f>
        <v/>
      </c>
      <c r="W20" s="141">
        <f>VLOOKUP($B20,Şablon!$E$3:$Q$255,9,FALSE)</f>
        <v>7</v>
      </c>
      <c r="X20" s="142" t="str">
        <f t="shared" si="8"/>
        <v/>
      </c>
      <c r="Y20" s="143" t="str">
        <f t="shared" si="9"/>
        <v/>
      </c>
      <c r="Z20" s="144" t="str">
        <f>IF(VLOOKUP($B20,'Satınalma Takvimi Veri Girişi'!$B$4:$AC$146,15,FALSE)&lt;&gt;"",VLOOKUP($B20,'Satınalma Takvimi Veri Girişi'!$B$4:$AC$146,15,FALSE),"")</f>
        <v/>
      </c>
      <c r="AA20" s="141">
        <f>VLOOKUP($B20,Şablon!$E$3:$Q$255,10,FALSE)</f>
        <v>7</v>
      </c>
      <c r="AB20" s="142" t="str">
        <f t="shared" si="10"/>
        <v/>
      </c>
      <c r="AC20" s="143" t="str">
        <f t="shared" si="11"/>
        <v/>
      </c>
      <c r="AD20" s="144" t="str">
        <f>IF(VLOOKUP($B20,'Satınalma Takvimi Veri Girişi'!$B$4:$AC$146,17,FALSE)&lt;&gt;"",VLOOKUP($B20,'Satınalma Takvimi Veri Girişi'!$B$4:$AC$146,17,FALSE),"")</f>
        <v/>
      </c>
      <c r="AE20" s="141">
        <f>(VLOOKUP($B20,Şablon!$E$3:$Q$255,11,FALSE)+VLOOKUP($B20,Şablon!$E$3:$Q$255,12,FALSE))</f>
        <v>14</v>
      </c>
      <c r="AF20" s="142" t="str">
        <f t="shared" si="12"/>
        <v/>
      </c>
      <c r="AG20" s="143" t="str">
        <f t="shared" si="13"/>
        <v/>
      </c>
      <c r="AH20" s="144" t="str">
        <f>IF(VLOOKUP($B20,'Satınalma Takvimi Veri Girişi'!$B$4:$AC$146,19,FALSE)&lt;&gt;"",VLOOKUP($B20,'Satınalma Takvimi Veri Girişi'!$B$4:$AC$146,19,FALSE),"")</f>
        <v/>
      </c>
      <c r="AI20" s="145" t="str">
        <f>IF(VLOOKUP($B20,'Satınalma Takvimi Veri Girişi'!$B$4:$AC$146,20,FALSE)&lt;&gt;"",VLOOKUP($B20,'Satınalma Takvimi Veri Girişi'!$B$4:$AC$146,20,FALSE),"")</f>
        <v/>
      </c>
      <c r="AJ20" s="144" t="str">
        <f>IF(VLOOKUP($B20,'Satınalma Takvimi Veri Girişi'!$B$4:$AC$146,21,FALSE)&lt;&gt;"",VLOOKUP($B20,'Satınalma Takvimi Veri Girişi'!$B$4:$AC$146,21,FALSE),"")</f>
        <v/>
      </c>
      <c r="AK20" s="146" t="str">
        <f>IF(VLOOKUP($B20,'Satınalma Takvimi Veri Girişi'!$B$4:$AC$146,22,FALSE)&lt;&gt;"",VLOOKUP($B20,'Satınalma Takvimi Veri Girişi'!$B$4:$AC$146,22,FALSE),"")</f>
        <v/>
      </c>
      <c r="AL20" s="147" t="str">
        <f>IF(VLOOKUP($B20,'Satınalma Takvimi Veri Girişi'!$B$4:$AC$146,23,FALSE)&lt;&gt;"",VLOOKUP($B20,'Satınalma Takvimi Veri Girişi'!$B$4:$AC$146,23,FALSE),"")</f>
        <v/>
      </c>
      <c r="AM20" s="147" t="str">
        <f>IF(VLOOKUP($B20,'Satınalma Takvimi Veri Girişi'!$B$4:$AC$146,24,FALSE)&lt;&gt;"",VLOOKUP($B20,'Satınalma Takvimi Veri Girişi'!$B$4:$AC$146,24,FALSE),"")</f>
        <v/>
      </c>
      <c r="AN20" s="147" t="str">
        <f>IF(VLOOKUP($B20,'Satınalma Takvimi Veri Girişi'!$B$4:$AC$146,25,FALSE)&lt;&gt;"",VLOOKUP($B20,'Satınalma Takvimi Veri Girişi'!$B$4:$AC$146,25,FALSE),"")</f>
        <v/>
      </c>
      <c r="AO20" s="147" t="str">
        <f>IF(VLOOKUP($B20,'Satınalma Takvimi Veri Girişi'!$B$4:$AC$146,26,FALSE)&lt;&gt;"",VLOOKUP($B20,'Satınalma Takvimi Veri Girişi'!$B$4:$AC$146,26,FALSE),"")</f>
        <v/>
      </c>
      <c r="AP20" s="147" t="str">
        <f>IF(VLOOKUP($B20,'Satınalma Takvimi Veri Girişi'!$B$4:$AC$146,27,FALSE)&lt;&gt;"",VLOOKUP($B20,'Satınalma Takvimi Veri Girişi'!$B$4:$AC$146,27,FALSE),"")</f>
        <v/>
      </c>
      <c r="AQ20" s="148" t="str">
        <f>IF(VLOOKUP($B20,'Satınalma Takvimi Veri Girişi'!$B$4:$AC$146,28,FALSE)&lt;&gt;"",VLOOKUP($B20,'Satınalma Takvimi Veri Girişi'!$B$4:$AC$146,28,FALSE),"")</f>
        <v/>
      </c>
    </row>
    <row r="21" spans="2:43" ht="19.95" customHeight="1" x14ac:dyDescent="0.3">
      <c r="B21" s="64" t="str">
        <f>Şablon!E20</f>
        <v>IHL.3028.018/1</v>
      </c>
      <c r="C21" s="139" t="str">
        <f>VLOOKUP($B21,Şablon!$E$3:$Q$255,2,FALSE)</f>
        <v>01.18.02 İŞ GÜVENLİĞİ BARİYERİ</v>
      </c>
      <c r="D21" s="161" t="str">
        <f>IF(VLOOKUP($B21,'Satınalma Takvimi Veri Girişi'!$B$4:$AC$146,3,FALSE)&lt;&gt;"",VLOOKUP($B21,'Satınalma Takvimi Veri Girişi'!$B$4:$AC$146,3,FALSE),"")</f>
        <v/>
      </c>
      <c r="E21" s="139" t="str">
        <f>VLOOKUP($B21,Şablon!$E$3:$Q$255,3,FALSE)</f>
        <v>B KATEGORİ</v>
      </c>
      <c r="F21" s="140" t="str">
        <f>VLOOKUP($B21,Şablon!$E$3:$Q$255,4,FALSE)</f>
        <v>İNŞ</v>
      </c>
      <c r="G21" s="141">
        <f>VLOOKUP($B21,Şablon!$E$3:$Q$255,5,FALSE)</f>
        <v>0</v>
      </c>
      <c r="H21" s="142" t="str">
        <f t="shared" si="0"/>
        <v/>
      </c>
      <c r="I21" s="143" t="str">
        <f t="shared" si="1"/>
        <v/>
      </c>
      <c r="J21" s="144" t="str">
        <f>IF(VLOOKUP($B21,'Satınalma Takvimi Veri Girişi'!$B$4:$AC$146,7,FALSE)&lt;&gt;"",VLOOKUP($B21,'Satınalma Takvimi Veri Girişi'!$B$4:$AC$146,7,FALSE),"")</f>
        <v/>
      </c>
      <c r="K21" s="141">
        <f>VLOOKUP($B21,Şablon!$E$3:$Q$255,6,FALSE)</f>
        <v>14</v>
      </c>
      <c r="L21" s="142" t="str">
        <f t="shared" si="2"/>
        <v/>
      </c>
      <c r="M21" s="143" t="str">
        <f t="shared" si="3"/>
        <v/>
      </c>
      <c r="N21" s="144" t="str">
        <f>IF(VLOOKUP($B21,'Satınalma Takvimi Veri Girişi'!$B$4:$AC$146,9,FALSE)&lt;&gt;"",VLOOKUP($B21,'Satınalma Takvimi Veri Girişi'!$B$4:$AC$146,9,FALSE),"")</f>
        <v/>
      </c>
      <c r="O21" s="141">
        <f>VLOOKUP($B21,Şablon!$E$3:$Q$255,7,FALSE)</f>
        <v>7</v>
      </c>
      <c r="P21" s="142" t="str">
        <f t="shared" si="4"/>
        <v/>
      </c>
      <c r="Q21" s="143" t="str">
        <f t="shared" si="5"/>
        <v/>
      </c>
      <c r="R21" s="144" t="str">
        <f>IF(VLOOKUP($B21,'Satınalma Takvimi Veri Girişi'!$B$4:$AC$146,11,FALSE)&lt;&gt;"",VLOOKUP($B21,'Satınalma Takvimi Veri Girişi'!$B$4:$AC$146,11,FALSE),"")</f>
        <v/>
      </c>
      <c r="S21" s="141">
        <f>VLOOKUP($B21,Şablon!$E$3:$Q$255,8,FALSE)</f>
        <v>14</v>
      </c>
      <c r="T21" s="142" t="str">
        <f t="shared" si="6"/>
        <v/>
      </c>
      <c r="U21" s="143" t="str">
        <f t="shared" si="7"/>
        <v/>
      </c>
      <c r="V21" s="144" t="str">
        <f>IF(VLOOKUP($B21,'Satınalma Takvimi Veri Girişi'!$B$4:$AC$146,13,FALSE)&lt;&gt;"",VLOOKUP($B21,'Satınalma Takvimi Veri Girişi'!$B$4:$AC$146,13,FALSE),"")</f>
        <v/>
      </c>
      <c r="W21" s="141">
        <f>VLOOKUP($B21,Şablon!$E$3:$Q$255,9,FALSE)</f>
        <v>7</v>
      </c>
      <c r="X21" s="142" t="str">
        <f t="shared" si="8"/>
        <v/>
      </c>
      <c r="Y21" s="143" t="str">
        <f t="shared" si="9"/>
        <v/>
      </c>
      <c r="Z21" s="144" t="str">
        <f>IF(VLOOKUP($B21,'Satınalma Takvimi Veri Girişi'!$B$4:$AC$146,15,FALSE)&lt;&gt;"",VLOOKUP($B21,'Satınalma Takvimi Veri Girişi'!$B$4:$AC$146,15,FALSE),"")</f>
        <v/>
      </c>
      <c r="AA21" s="141">
        <f>VLOOKUP($B21,Şablon!$E$3:$Q$255,10,FALSE)</f>
        <v>7</v>
      </c>
      <c r="AB21" s="142" t="str">
        <f t="shared" si="10"/>
        <v/>
      </c>
      <c r="AC21" s="143" t="str">
        <f t="shared" si="11"/>
        <v/>
      </c>
      <c r="AD21" s="144" t="str">
        <f>IF(VLOOKUP($B21,'Satınalma Takvimi Veri Girişi'!$B$4:$AC$146,17,FALSE)&lt;&gt;"",VLOOKUP($B21,'Satınalma Takvimi Veri Girişi'!$B$4:$AC$146,17,FALSE),"")</f>
        <v/>
      </c>
      <c r="AE21" s="141">
        <f>(VLOOKUP($B21,Şablon!$E$3:$Q$255,11,FALSE)+VLOOKUP($B21,Şablon!$E$3:$Q$255,12,FALSE))</f>
        <v>14</v>
      </c>
      <c r="AF21" s="142" t="str">
        <f t="shared" si="12"/>
        <v/>
      </c>
      <c r="AG21" s="143" t="str">
        <f t="shared" si="13"/>
        <v/>
      </c>
      <c r="AH21" s="144" t="str">
        <f>IF(VLOOKUP($B21,'Satınalma Takvimi Veri Girişi'!$B$4:$AC$146,19,FALSE)&lt;&gt;"",VLOOKUP($B21,'Satınalma Takvimi Veri Girişi'!$B$4:$AC$146,19,FALSE),"")</f>
        <v/>
      </c>
      <c r="AI21" s="145" t="str">
        <f>IF(VLOOKUP($B21,'Satınalma Takvimi Veri Girişi'!$B$4:$AC$146,20,FALSE)&lt;&gt;"",VLOOKUP($B21,'Satınalma Takvimi Veri Girişi'!$B$4:$AC$146,20,FALSE),"")</f>
        <v/>
      </c>
      <c r="AJ21" s="144" t="str">
        <f>IF(VLOOKUP($B21,'Satınalma Takvimi Veri Girişi'!$B$4:$AC$146,21,FALSE)&lt;&gt;"",VLOOKUP($B21,'Satınalma Takvimi Veri Girişi'!$B$4:$AC$146,21,FALSE),"")</f>
        <v/>
      </c>
      <c r="AK21" s="146" t="str">
        <f>IF(VLOOKUP($B21,'Satınalma Takvimi Veri Girişi'!$B$4:$AC$146,22,FALSE)&lt;&gt;"",VLOOKUP($B21,'Satınalma Takvimi Veri Girişi'!$B$4:$AC$146,22,FALSE),"")</f>
        <v/>
      </c>
      <c r="AL21" s="147" t="str">
        <f>IF(VLOOKUP($B21,'Satınalma Takvimi Veri Girişi'!$B$4:$AC$146,23,FALSE)&lt;&gt;"",VLOOKUP($B21,'Satınalma Takvimi Veri Girişi'!$B$4:$AC$146,23,FALSE),"")</f>
        <v/>
      </c>
      <c r="AM21" s="147" t="str">
        <f>IF(VLOOKUP($B21,'Satınalma Takvimi Veri Girişi'!$B$4:$AC$146,24,FALSE)&lt;&gt;"",VLOOKUP($B21,'Satınalma Takvimi Veri Girişi'!$B$4:$AC$146,24,FALSE),"")</f>
        <v/>
      </c>
      <c r="AN21" s="147" t="str">
        <f>IF(VLOOKUP($B21,'Satınalma Takvimi Veri Girişi'!$B$4:$AC$146,25,FALSE)&lt;&gt;"",VLOOKUP($B21,'Satınalma Takvimi Veri Girişi'!$B$4:$AC$146,25,FALSE),"")</f>
        <v/>
      </c>
      <c r="AO21" s="147" t="str">
        <f>IF(VLOOKUP($B21,'Satınalma Takvimi Veri Girişi'!$B$4:$AC$146,26,FALSE)&lt;&gt;"",VLOOKUP($B21,'Satınalma Takvimi Veri Girişi'!$B$4:$AC$146,26,FALSE),"")</f>
        <v/>
      </c>
      <c r="AP21" s="147" t="str">
        <f>IF(VLOOKUP($B21,'Satınalma Takvimi Veri Girişi'!$B$4:$AC$146,27,FALSE)&lt;&gt;"",VLOOKUP($B21,'Satınalma Takvimi Veri Girişi'!$B$4:$AC$146,27,FALSE),"")</f>
        <v/>
      </c>
      <c r="AQ21" s="148" t="str">
        <f>IF(VLOOKUP($B21,'Satınalma Takvimi Veri Girişi'!$B$4:$AC$146,28,FALSE)&lt;&gt;"",VLOOKUP($B21,'Satınalma Takvimi Veri Girişi'!$B$4:$AC$146,28,FALSE),"")</f>
        <v/>
      </c>
    </row>
    <row r="22" spans="2:43" ht="19.95" customHeight="1" x14ac:dyDescent="0.3">
      <c r="B22" s="64" t="str">
        <f>Şablon!E21</f>
        <v>IHL.3028.019/1</v>
      </c>
      <c r="C22" s="139" t="str">
        <f>VLOOKUP($B22,Şablon!$E$3:$Q$255,2,FALSE)</f>
        <v>01.19.00 RÜZGAR PERDESİ KALIP KİRALAMA</v>
      </c>
      <c r="D22" s="161" t="str">
        <f>IF(VLOOKUP($B22,'Satınalma Takvimi Veri Girişi'!$B$4:$AC$146,3,FALSE)&lt;&gt;"",VLOOKUP($B22,'Satınalma Takvimi Veri Girişi'!$B$4:$AC$146,3,FALSE),"")</f>
        <v/>
      </c>
      <c r="E22" s="139" t="str">
        <f>VLOOKUP($B22,Şablon!$E$3:$Q$255,3,FALSE)</f>
        <v>B KATEGORİ</v>
      </c>
      <c r="F22" s="140" t="str">
        <f>VLOOKUP($B22,Şablon!$E$3:$Q$255,4,FALSE)</f>
        <v>İNŞ</v>
      </c>
      <c r="G22" s="141">
        <f>VLOOKUP($B22,Şablon!$E$3:$Q$255,5,FALSE)</f>
        <v>0</v>
      </c>
      <c r="H22" s="142" t="str">
        <f t="shared" si="0"/>
        <v/>
      </c>
      <c r="I22" s="143" t="str">
        <f t="shared" si="1"/>
        <v/>
      </c>
      <c r="J22" s="144" t="str">
        <f>IF(VLOOKUP($B22,'Satınalma Takvimi Veri Girişi'!$B$4:$AC$146,7,FALSE)&lt;&gt;"",VLOOKUP($B22,'Satınalma Takvimi Veri Girişi'!$B$4:$AC$146,7,FALSE),"")</f>
        <v/>
      </c>
      <c r="K22" s="141">
        <f>VLOOKUP($B22,Şablon!$E$3:$Q$255,6,FALSE)</f>
        <v>14</v>
      </c>
      <c r="L22" s="142" t="str">
        <f t="shared" si="2"/>
        <v/>
      </c>
      <c r="M22" s="143" t="str">
        <f t="shared" si="3"/>
        <v/>
      </c>
      <c r="N22" s="144" t="str">
        <f>IF(VLOOKUP($B22,'Satınalma Takvimi Veri Girişi'!$B$4:$AC$146,9,FALSE)&lt;&gt;"",VLOOKUP($B22,'Satınalma Takvimi Veri Girişi'!$B$4:$AC$146,9,FALSE),"")</f>
        <v/>
      </c>
      <c r="O22" s="141">
        <f>VLOOKUP($B22,Şablon!$E$3:$Q$255,7,FALSE)</f>
        <v>7</v>
      </c>
      <c r="P22" s="142" t="str">
        <f t="shared" si="4"/>
        <v/>
      </c>
      <c r="Q22" s="143" t="str">
        <f t="shared" si="5"/>
        <v/>
      </c>
      <c r="R22" s="144" t="str">
        <f>IF(VLOOKUP($B22,'Satınalma Takvimi Veri Girişi'!$B$4:$AC$146,11,FALSE)&lt;&gt;"",VLOOKUP($B22,'Satınalma Takvimi Veri Girişi'!$B$4:$AC$146,11,FALSE),"")</f>
        <v/>
      </c>
      <c r="S22" s="141">
        <f>VLOOKUP($B22,Şablon!$E$3:$Q$255,8,FALSE)</f>
        <v>21</v>
      </c>
      <c r="T22" s="142" t="str">
        <f t="shared" si="6"/>
        <v/>
      </c>
      <c r="U22" s="143" t="str">
        <f t="shared" si="7"/>
        <v/>
      </c>
      <c r="V22" s="144" t="str">
        <f>IF(VLOOKUP($B22,'Satınalma Takvimi Veri Girişi'!$B$4:$AC$146,13,FALSE)&lt;&gt;"",VLOOKUP($B22,'Satınalma Takvimi Veri Girişi'!$B$4:$AC$146,13,FALSE),"")</f>
        <v/>
      </c>
      <c r="W22" s="141">
        <f>VLOOKUP($B22,Şablon!$E$3:$Q$255,9,FALSE)</f>
        <v>7</v>
      </c>
      <c r="X22" s="142" t="str">
        <f t="shared" si="8"/>
        <v/>
      </c>
      <c r="Y22" s="143" t="str">
        <f t="shared" si="9"/>
        <v/>
      </c>
      <c r="Z22" s="144" t="str">
        <f>IF(VLOOKUP($B22,'Satınalma Takvimi Veri Girişi'!$B$4:$AC$146,15,FALSE)&lt;&gt;"",VLOOKUP($B22,'Satınalma Takvimi Veri Girişi'!$B$4:$AC$146,15,FALSE),"")</f>
        <v/>
      </c>
      <c r="AA22" s="141">
        <f>VLOOKUP($B22,Şablon!$E$3:$Q$255,10,FALSE)</f>
        <v>14</v>
      </c>
      <c r="AB22" s="142" t="str">
        <f t="shared" si="10"/>
        <v/>
      </c>
      <c r="AC22" s="143" t="str">
        <f t="shared" si="11"/>
        <v/>
      </c>
      <c r="AD22" s="144" t="str">
        <f>IF(VLOOKUP($B22,'Satınalma Takvimi Veri Girişi'!$B$4:$AC$146,17,FALSE)&lt;&gt;"",VLOOKUP($B22,'Satınalma Takvimi Veri Girişi'!$B$4:$AC$146,17,FALSE),"")</f>
        <v/>
      </c>
      <c r="AE22" s="141">
        <f>(VLOOKUP($B22,Şablon!$E$3:$Q$255,11,FALSE)+VLOOKUP($B22,Şablon!$E$3:$Q$255,12,FALSE))</f>
        <v>35</v>
      </c>
      <c r="AF22" s="142" t="str">
        <f t="shared" si="12"/>
        <v/>
      </c>
      <c r="AG22" s="143" t="str">
        <f t="shared" si="13"/>
        <v/>
      </c>
      <c r="AH22" s="144" t="str">
        <f>IF(VLOOKUP($B22,'Satınalma Takvimi Veri Girişi'!$B$4:$AC$146,19,FALSE)&lt;&gt;"",VLOOKUP($B22,'Satınalma Takvimi Veri Girişi'!$B$4:$AC$146,19,FALSE),"")</f>
        <v/>
      </c>
      <c r="AI22" s="145" t="str">
        <f>IF(VLOOKUP($B22,'Satınalma Takvimi Veri Girişi'!$B$4:$AC$146,20,FALSE)&lt;&gt;"",VLOOKUP($B22,'Satınalma Takvimi Veri Girişi'!$B$4:$AC$146,20,FALSE),"")</f>
        <v/>
      </c>
      <c r="AJ22" s="144" t="str">
        <f>IF(VLOOKUP($B22,'Satınalma Takvimi Veri Girişi'!$B$4:$AC$146,21,FALSE)&lt;&gt;"",VLOOKUP($B22,'Satınalma Takvimi Veri Girişi'!$B$4:$AC$146,21,FALSE),"")</f>
        <v/>
      </c>
      <c r="AK22" s="146" t="str">
        <f>IF(VLOOKUP($B22,'Satınalma Takvimi Veri Girişi'!$B$4:$AC$146,22,FALSE)&lt;&gt;"",VLOOKUP($B22,'Satınalma Takvimi Veri Girişi'!$B$4:$AC$146,22,FALSE),"")</f>
        <v/>
      </c>
      <c r="AL22" s="147" t="str">
        <f>IF(VLOOKUP($B22,'Satınalma Takvimi Veri Girişi'!$B$4:$AC$146,23,FALSE)&lt;&gt;"",VLOOKUP($B22,'Satınalma Takvimi Veri Girişi'!$B$4:$AC$146,23,FALSE),"")</f>
        <v/>
      </c>
      <c r="AM22" s="147" t="str">
        <f>IF(VLOOKUP($B22,'Satınalma Takvimi Veri Girişi'!$B$4:$AC$146,24,FALSE)&lt;&gt;"",VLOOKUP($B22,'Satınalma Takvimi Veri Girişi'!$B$4:$AC$146,24,FALSE),"")</f>
        <v/>
      </c>
      <c r="AN22" s="147" t="str">
        <f>IF(VLOOKUP($B22,'Satınalma Takvimi Veri Girişi'!$B$4:$AC$146,25,FALSE)&lt;&gt;"",VLOOKUP($B22,'Satınalma Takvimi Veri Girişi'!$B$4:$AC$146,25,FALSE),"")</f>
        <v/>
      </c>
      <c r="AO22" s="147" t="str">
        <f>IF(VLOOKUP($B22,'Satınalma Takvimi Veri Girişi'!$B$4:$AC$146,26,FALSE)&lt;&gt;"",VLOOKUP($B22,'Satınalma Takvimi Veri Girişi'!$B$4:$AC$146,26,FALSE),"")</f>
        <v/>
      </c>
      <c r="AP22" s="147" t="str">
        <f>IF(VLOOKUP($B22,'Satınalma Takvimi Veri Girişi'!$B$4:$AC$146,27,FALSE)&lt;&gt;"",VLOOKUP($B22,'Satınalma Takvimi Veri Girişi'!$B$4:$AC$146,27,FALSE),"")</f>
        <v/>
      </c>
      <c r="AQ22" s="148" t="str">
        <f>IF(VLOOKUP($B22,'Satınalma Takvimi Veri Girişi'!$B$4:$AC$146,28,FALSE)&lt;&gt;"",VLOOKUP($B22,'Satınalma Takvimi Veri Girişi'!$B$4:$AC$146,28,FALSE),"")</f>
        <v/>
      </c>
    </row>
    <row r="23" spans="2:43" ht="19.95" customHeight="1" x14ac:dyDescent="0.3">
      <c r="B23" s="64" t="str">
        <f>Şablon!E22</f>
        <v>IHL.3028.020/1</v>
      </c>
      <c r="C23" s="139" t="str">
        <f>VLOOKUP($B23,Şablon!$E$3:$Q$255,2,FALSE)</f>
        <v>15.15.02 RCS ÜZERİ LOGO İŞLERİ</v>
      </c>
      <c r="D23" s="161" t="str">
        <f>IF(VLOOKUP($B23,'Satınalma Takvimi Veri Girişi'!$B$4:$AC$146,3,FALSE)&lt;&gt;"",VLOOKUP($B23,'Satınalma Takvimi Veri Girişi'!$B$4:$AC$146,3,FALSE),"")</f>
        <v/>
      </c>
      <c r="E23" s="139" t="str">
        <f>VLOOKUP($B23,Şablon!$E$3:$Q$255,3,FALSE)</f>
        <v>C KATEGORİ</v>
      </c>
      <c r="F23" s="140" t="str">
        <f>VLOOKUP($B23,Şablon!$E$3:$Q$255,4,FALSE)</f>
        <v>İNŞ</v>
      </c>
      <c r="G23" s="141">
        <f>VLOOKUP($B23,Şablon!$E$3:$Q$255,5,FALSE)</f>
        <v>0</v>
      </c>
      <c r="H23" s="142" t="str">
        <f t="shared" si="0"/>
        <v/>
      </c>
      <c r="I23" s="143" t="str">
        <f t="shared" si="1"/>
        <v/>
      </c>
      <c r="J23" s="144" t="str">
        <f>IF(VLOOKUP($B23,'Satınalma Takvimi Veri Girişi'!$B$4:$AC$146,7,FALSE)&lt;&gt;"",VLOOKUP($B23,'Satınalma Takvimi Veri Girişi'!$B$4:$AC$146,7,FALSE),"")</f>
        <v/>
      </c>
      <c r="K23" s="141">
        <f>VLOOKUP($B23,Şablon!$E$3:$Q$255,6,FALSE)</f>
        <v>14</v>
      </c>
      <c r="L23" s="142" t="str">
        <f t="shared" si="2"/>
        <v/>
      </c>
      <c r="M23" s="143" t="str">
        <f t="shared" si="3"/>
        <v/>
      </c>
      <c r="N23" s="144" t="str">
        <f>IF(VLOOKUP($B23,'Satınalma Takvimi Veri Girişi'!$B$4:$AC$146,9,FALSE)&lt;&gt;"",VLOOKUP($B23,'Satınalma Takvimi Veri Girişi'!$B$4:$AC$146,9,FALSE),"")</f>
        <v/>
      </c>
      <c r="O23" s="141">
        <f>VLOOKUP($B23,Şablon!$E$3:$Q$255,7,FALSE)</f>
        <v>7</v>
      </c>
      <c r="P23" s="142" t="str">
        <f t="shared" si="4"/>
        <v/>
      </c>
      <c r="Q23" s="143" t="str">
        <f t="shared" si="5"/>
        <v/>
      </c>
      <c r="R23" s="144" t="str">
        <f>IF(VLOOKUP($B23,'Satınalma Takvimi Veri Girişi'!$B$4:$AC$146,11,FALSE)&lt;&gt;"",VLOOKUP($B23,'Satınalma Takvimi Veri Girişi'!$B$4:$AC$146,11,FALSE),"")</f>
        <v/>
      </c>
      <c r="S23" s="141">
        <f>VLOOKUP($B23,Şablon!$E$3:$Q$255,8,FALSE)</f>
        <v>14</v>
      </c>
      <c r="T23" s="142" t="str">
        <f t="shared" si="6"/>
        <v/>
      </c>
      <c r="U23" s="143" t="str">
        <f t="shared" si="7"/>
        <v/>
      </c>
      <c r="V23" s="144" t="str">
        <f>IF(VLOOKUP($B23,'Satınalma Takvimi Veri Girişi'!$B$4:$AC$146,13,FALSE)&lt;&gt;"",VLOOKUP($B23,'Satınalma Takvimi Veri Girişi'!$B$4:$AC$146,13,FALSE),"")</f>
        <v/>
      </c>
      <c r="W23" s="141">
        <f>VLOOKUP($B23,Şablon!$E$3:$Q$255,9,FALSE)</f>
        <v>7</v>
      </c>
      <c r="X23" s="142" t="str">
        <f t="shared" si="8"/>
        <v/>
      </c>
      <c r="Y23" s="143" t="str">
        <f t="shared" si="9"/>
        <v/>
      </c>
      <c r="Z23" s="144" t="str">
        <f>IF(VLOOKUP($B23,'Satınalma Takvimi Veri Girişi'!$B$4:$AC$146,15,FALSE)&lt;&gt;"",VLOOKUP($B23,'Satınalma Takvimi Veri Girişi'!$B$4:$AC$146,15,FALSE),"")</f>
        <v/>
      </c>
      <c r="AA23" s="141">
        <f>VLOOKUP($B23,Şablon!$E$3:$Q$255,10,FALSE)</f>
        <v>7</v>
      </c>
      <c r="AB23" s="142" t="str">
        <f t="shared" si="10"/>
        <v/>
      </c>
      <c r="AC23" s="143" t="str">
        <f t="shared" si="11"/>
        <v/>
      </c>
      <c r="AD23" s="144" t="str">
        <f>IF(VLOOKUP($B23,'Satınalma Takvimi Veri Girişi'!$B$4:$AC$146,17,FALSE)&lt;&gt;"",VLOOKUP($B23,'Satınalma Takvimi Veri Girişi'!$B$4:$AC$146,17,FALSE),"")</f>
        <v/>
      </c>
      <c r="AE23" s="141">
        <f>(VLOOKUP($B23,Şablon!$E$3:$Q$255,11,FALSE)+VLOOKUP($B23,Şablon!$E$3:$Q$255,12,FALSE))</f>
        <v>21</v>
      </c>
      <c r="AF23" s="142" t="str">
        <f t="shared" si="12"/>
        <v/>
      </c>
      <c r="AG23" s="143" t="str">
        <f t="shared" si="13"/>
        <v/>
      </c>
      <c r="AH23" s="144" t="str">
        <f>IF(VLOOKUP($B23,'Satınalma Takvimi Veri Girişi'!$B$4:$AC$146,19,FALSE)&lt;&gt;"",VLOOKUP($B23,'Satınalma Takvimi Veri Girişi'!$B$4:$AC$146,19,FALSE),"")</f>
        <v/>
      </c>
      <c r="AI23" s="145" t="str">
        <f>IF(VLOOKUP($B23,'Satınalma Takvimi Veri Girişi'!$B$4:$AC$146,20,FALSE)&lt;&gt;"",VLOOKUP($B23,'Satınalma Takvimi Veri Girişi'!$B$4:$AC$146,20,FALSE),"")</f>
        <v/>
      </c>
      <c r="AJ23" s="144" t="str">
        <f>IF(VLOOKUP($B23,'Satınalma Takvimi Veri Girişi'!$B$4:$AC$146,21,FALSE)&lt;&gt;"",VLOOKUP($B23,'Satınalma Takvimi Veri Girişi'!$B$4:$AC$146,21,FALSE),"")</f>
        <v/>
      </c>
      <c r="AK23" s="146" t="str">
        <f>IF(VLOOKUP($B23,'Satınalma Takvimi Veri Girişi'!$B$4:$AC$146,22,FALSE)&lt;&gt;"",VLOOKUP($B23,'Satınalma Takvimi Veri Girişi'!$B$4:$AC$146,22,FALSE),"")</f>
        <v/>
      </c>
      <c r="AL23" s="147" t="str">
        <f>IF(VLOOKUP($B23,'Satınalma Takvimi Veri Girişi'!$B$4:$AC$146,23,FALSE)&lt;&gt;"",VLOOKUP($B23,'Satınalma Takvimi Veri Girişi'!$B$4:$AC$146,23,FALSE),"")</f>
        <v/>
      </c>
      <c r="AM23" s="147" t="str">
        <f>IF(VLOOKUP($B23,'Satınalma Takvimi Veri Girişi'!$B$4:$AC$146,24,FALSE)&lt;&gt;"",VLOOKUP($B23,'Satınalma Takvimi Veri Girişi'!$B$4:$AC$146,24,FALSE),"")</f>
        <v/>
      </c>
      <c r="AN23" s="147" t="str">
        <f>IF(VLOOKUP($B23,'Satınalma Takvimi Veri Girişi'!$B$4:$AC$146,25,FALSE)&lt;&gt;"",VLOOKUP($B23,'Satınalma Takvimi Veri Girişi'!$B$4:$AC$146,25,FALSE),"")</f>
        <v/>
      </c>
      <c r="AO23" s="147" t="str">
        <f>IF(VLOOKUP($B23,'Satınalma Takvimi Veri Girişi'!$B$4:$AC$146,26,FALSE)&lt;&gt;"",VLOOKUP($B23,'Satınalma Takvimi Veri Girişi'!$B$4:$AC$146,26,FALSE),"")</f>
        <v/>
      </c>
      <c r="AP23" s="147" t="str">
        <f>IF(VLOOKUP($B23,'Satınalma Takvimi Veri Girişi'!$B$4:$AC$146,27,FALSE)&lt;&gt;"",VLOOKUP($B23,'Satınalma Takvimi Veri Girişi'!$B$4:$AC$146,27,FALSE),"")</f>
        <v/>
      </c>
      <c r="AQ23" s="148" t="str">
        <f>IF(VLOOKUP($B23,'Satınalma Takvimi Veri Girişi'!$B$4:$AC$146,28,FALSE)&lt;&gt;"",VLOOKUP($B23,'Satınalma Takvimi Veri Girişi'!$B$4:$AC$146,28,FALSE),"")</f>
        <v/>
      </c>
    </row>
    <row r="24" spans="2:43" ht="19.95" customHeight="1" x14ac:dyDescent="0.3">
      <c r="B24" s="64" t="str">
        <f>Şablon!E23</f>
        <v>IHL.3028.021/1</v>
      </c>
      <c r="C24" s="139" t="str">
        <f>VLOOKUP($B24,Şablon!$E$3:$Q$255,2,FALSE)</f>
        <v>01.17.02 PERSONEL ASANSÖRÜ</v>
      </c>
      <c r="D24" s="161" t="str">
        <f>IF(VLOOKUP($B24,'Satınalma Takvimi Veri Girişi'!$B$4:$AC$146,3,FALSE)&lt;&gt;"",VLOOKUP($B24,'Satınalma Takvimi Veri Girişi'!$B$4:$AC$146,3,FALSE),"")</f>
        <v/>
      </c>
      <c r="E24" s="139" t="str">
        <f>VLOOKUP($B24,Şablon!$E$3:$Q$255,3,FALSE)</f>
        <v>B KATEGORİ</v>
      </c>
      <c r="F24" s="140" t="str">
        <f>VLOOKUP($B24,Şablon!$E$3:$Q$255,4,FALSE)</f>
        <v>İNŞ</v>
      </c>
      <c r="G24" s="141">
        <f>VLOOKUP($B24,Şablon!$E$3:$Q$255,5,FALSE)</f>
        <v>0</v>
      </c>
      <c r="H24" s="142" t="str">
        <f t="shared" si="0"/>
        <v/>
      </c>
      <c r="I24" s="143" t="str">
        <f t="shared" si="1"/>
        <v/>
      </c>
      <c r="J24" s="144" t="str">
        <f>IF(VLOOKUP($B24,'Satınalma Takvimi Veri Girişi'!$B$4:$AC$146,7,FALSE)&lt;&gt;"",VLOOKUP($B24,'Satınalma Takvimi Veri Girişi'!$B$4:$AC$146,7,FALSE),"")</f>
        <v/>
      </c>
      <c r="K24" s="141">
        <f>VLOOKUP($B24,Şablon!$E$3:$Q$255,6,FALSE)</f>
        <v>14</v>
      </c>
      <c r="L24" s="142" t="str">
        <f t="shared" si="2"/>
        <v/>
      </c>
      <c r="M24" s="143" t="str">
        <f t="shared" si="3"/>
        <v/>
      </c>
      <c r="N24" s="144" t="str">
        <f>IF(VLOOKUP($B24,'Satınalma Takvimi Veri Girişi'!$B$4:$AC$146,9,FALSE)&lt;&gt;"",VLOOKUP($B24,'Satınalma Takvimi Veri Girişi'!$B$4:$AC$146,9,FALSE),"")</f>
        <v/>
      </c>
      <c r="O24" s="141">
        <f>VLOOKUP($B24,Şablon!$E$3:$Q$255,7,FALSE)</f>
        <v>7</v>
      </c>
      <c r="P24" s="142" t="str">
        <f t="shared" si="4"/>
        <v/>
      </c>
      <c r="Q24" s="143" t="str">
        <f t="shared" si="5"/>
        <v/>
      </c>
      <c r="R24" s="144" t="str">
        <f>IF(VLOOKUP($B24,'Satınalma Takvimi Veri Girişi'!$B$4:$AC$146,11,FALSE)&lt;&gt;"",VLOOKUP($B24,'Satınalma Takvimi Veri Girişi'!$B$4:$AC$146,11,FALSE),"")</f>
        <v/>
      </c>
      <c r="S24" s="141">
        <f>VLOOKUP($B24,Şablon!$E$3:$Q$255,8,FALSE)</f>
        <v>21</v>
      </c>
      <c r="T24" s="142" t="str">
        <f t="shared" si="6"/>
        <v/>
      </c>
      <c r="U24" s="143" t="str">
        <f t="shared" si="7"/>
        <v/>
      </c>
      <c r="V24" s="144" t="str">
        <f>IF(VLOOKUP($B24,'Satınalma Takvimi Veri Girişi'!$B$4:$AC$146,13,FALSE)&lt;&gt;"",VLOOKUP($B24,'Satınalma Takvimi Veri Girişi'!$B$4:$AC$146,13,FALSE),"")</f>
        <v/>
      </c>
      <c r="W24" s="141">
        <f>VLOOKUP($B24,Şablon!$E$3:$Q$255,9,FALSE)</f>
        <v>7</v>
      </c>
      <c r="X24" s="142" t="str">
        <f t="shared" si="8"/>
        <v/>
      </c>
      <c r="Y24" s="143" t="str">
        <f t="shared" si="9"/>
        <v/>
      </c>
      <c r="Z24" s="144" t="str">
        <f>IF(VLOOKUP($B24,'Satınalma Takvimi Veri Girişi'!$B$4:$AC$146,15,FALSE)&lt;&gt;"",VLOOKUP($B24,'Satınalma Takvimi Veri Girişi'!$B$4:$AC$146,15,FALSE),"")</f>
        <v/>
      </c>
      <c r="AA24" s="141">
        <f>VLOOKUP($B24,Şablon!$E$3:$Q$255,10,FALSE)</f>
        <v>7</v>
      </c>
      <c r="AB24" s="142" t="str">
        <f t="shared" si="10"/>
        <v/>
      </c>
      <c r="AC24" s="143" t="str">
        <f t="shared" si="11"/>
        <v/>
      </c>
      <c r="AD24" s="144" t="str">
        <f>IF(VLOOKUP($B24,'Satınalma Takvimi Veri Girişi'!$B$4:$AC$146,17,FALSE)&lt;&gt;"",VLOOKUP($B24,'Satınalma Takvimi Veri Girişi'!$B$4:$AC$146,17,FALSE),"")</f>
        <v/>
      </c>
      <c r="AE24" s="141">
        <f>(VLOOKUP($B24,Şablon!$E$3:$Q$255,11,FALSE)+VLOOKUP($B24,Şablon!$E$3:$Q$255,12,FALSE))</f>
        <v>35</v>
      </c>
      <c r="AF24" s="142" t="str">
        <f t="shared" si="12"/>
        <v/>
      </c>
      <c r="AG24" s="143" t="str">
        <f t="shared" si="13"/>
        <v/>
      </c>
      <c r="AH24" s="144" t="str">
        <f>IF(VLOOKUP($B24,'Satınalma Takvimi Veri Girişi'!$B$4:$AC$146,19,FALSE)&lt;&gt;"",VLOOKUP($B24,'Satınalma Takvimi Veri Girişi'!$B$4:$AC$146,19,FALSE),"")</f>
        <v/>
      </c>
      <c r="AI24" s="145" t="str">
        <f>IF(VLOOKUP($B24,'Satınalma Takvimi Veri Girişi'!$B$4:$AC$146,20,FALSE)&lt;&gt;"",VLOOKUP($B24,'Satınalma Takvimi Veri Girişi'!$B$4:$AC$146,20,FALSE),"")</f>
        <v/>
      </c>
      <c r="AJ24" s="144" t="str">
        <f>IF(VLOOKUP($B24,'Satınalma Takvimi Veri Girişi'!$B$4:$AC$146,21,FALSE)&lt;&gt;"",VLOOKUP($B24,'Satınalma Takvimi Veri Girişi'!$B$4:$AC$146,21,FALSE),"")</f>
        <v/>
      </c>
      <c r="AK24" s="146" t="str">
        <f>IF(VLOOKUP($B24,'Satınalma Takvimi Veri Girişi'!$B$4:$AC$146,22,FALSE)&lt;&gt;"",VLOOKUP($B24,'Satınalma Takvimi Veri Girişi'!$B$4:$AC$146,22,FALSE),"")</f>
        <v/>
      </c>
      <c r="AL24" s="147" t="str">
        <f>IF(VLOOKUP($B24,'Satınalma Takvimi Veri Girişi'!$B$4:$AC$146,23,FALSE)&lt;&gt;"",VLOOKUP($B24,'Satınalma Takvimi Veri Girişi'!$B$4:$AC$146,23,FALSE),"")</f>
        <v/>
      </c>
      <c r="AM24" s="147" t="str">
        <f>IF(VLOOKUP($B24,'Satınalma Takvimi Veri Girişi'!$B$4:$AC$146,24,FALSE)&lt;&gt;"",VLOOKUP($B24,'Satınalma Takvimi Veri Girişi'!$B$4:$AC$146,24,FALSE),"")</f>
        <v/>
      </c>
      <c r="AN24" s="147" t="str">
        <f>IF(VLOOKUP($B24,'Satınalma Takvimi Veri Girişi'!$B$4:$AC$146,25,FALSE)&lt;&gt;"",VLOOKUP($B24,'Satınalma Takvimi Veri Girişi'!$B$4:$AC$146,25,FALSE),"")</f>
        <v/>
      </c>
      <c r="AO24" s="147" t="str">
        <f>IF(VLOOKUP($B24,'Satınalma Takvimi Veri Girişi'!$B$4:$AC$146,26,FALSE)&lt;&gt;"",VLOOKUP($B24,'Satınalma Takvimi Veri Girişi'!$B$4:$AC$146,26,FALSE),"")</f>
        <v/>
      </c>
      <c r="AP24" s="147" t="str">
        <f>IF(VLOOKUP($B24,'Satınalma Takvimi Veri Girişi'!$B$4:$AC$146,27,FALSE)&lt;&gt;"",VLOOKUP($B24,'Satınalma Takvimi Veri Girişi'!$B$4:$AC$146,27,FALSE),"")</f>
        <v/>
      </c>
      <c r="AQ24" s="148" t="str">
        <f>IF(VLOOKUP($B24,'Satınalma Takvimi Veri Girişi'!$B$4:$AC$146,28,FALSE)&lt;&gt;"",VLOOKUP($B24,'Satınalma Takvimi Veri Girişi'!$B$4:$AC$146,28,FALSE),"")</f>
        <v/>
      </c>
    </row>
    <row r="25" spans="2:43" ht="19.95" customHeight="1" x14ac:dyDescent="0.3">
      <c r="B25" s="64" t="str">
        <f>Şablon!E24</f>
        <v>IHL.3028.022/1</v>
      </c>
      <c r="C25" s="139" t="str">
        <f>VLOOKUP($B25,Şablon!$E$3:$Q$255,2,FALSE)</f>
        <v>01.17.00 HİDROLİK DAĞITICI &amp; SABİT POMPA</v>
      </c>
      <c r="D25" s="161" t="str">
        <f>IF(VLOOKUP($B25,'Satınalma Takvimi Veri Girişi'!$B$4:$AC$146,3,FALSE)&lt;&gt;"",VLOOKUP($B25,'Satınalma Takvimi Veri Girişi'!$B$4:$AC$146,3,FALSE),"")</f>
        <v/>
      </c>
      <c r="E25" s="139" t="str">
        <f>VLOOKUP($B25,Şablon!$E$3:$Q$255,3,FALSE)</f>
        <v>B KATEGORİ</v>
      </c>
      <c r="F25" s="140" t="str">
        <f>VLOOKUP($B25,Şablon!$E$3:$Q$255,4,FALSE)</f>
        <v>İNŞ</v>
      </c>
      <c r="G25" s="141">
        <f>VLOOKUP($B25,Şablon!$E$3:$Q$255,5,FALSE)</f>
        <v>0</v>
      </c>
      <c r="H25" s="142" t="str">
        <f t="shared" si="0"/>
        <v/>
      </c>
      <c r="I25" s="143" t="str">
        <f t="shared" si="1"/>
        <v/>
      </c>
      <c r="J25" s="144" t="str">
        <f>IF(VLOOKUP($B25,'Satınalma Takvimi Veri Girişi'!$B$4:$AC$146,7,FALSE)&lt;&gt;"",VLOOKUP($B25,'Satınalma Takvimi Veri Girişi'!$B$4:$AC$146,7,FALSE),"")</f>
        <v/>
      </c>
      <c r="K25" s="141">
        <f>VLOOKUP($B25,Şablon!$E$3:$Q$255,6,FALSE)</f>
        <v>14</v>
      </c>
      <c r="L25" s="142" t="str">
        <f t="shared" si="2"/>
        <v/>
      </c>
      <c r="M25" s="143" t="str">
        <f t="shared" si="3"/>
        <v/>
      </c>
      <c r="N25" s="144" t="str">
        <f>IF(VLOOKUP($B25,'Satınalma Takvimi Veri Girişi'!$B$4:$AC$146,9,FALSE)&lt;&gt;"",VLOOKUP($B25,'Satınalma Takvimi Veri Girişi'!$B$4:$AC$146,9,FALSE),"")</f>
        <v/>
      </c>
      <c r="O25" s="141">
        <f>VLOOKUP($B25,Şablon!$E$3:$Q$255,7,FALSE)</f>
        <v>7</v>
      </c>
      <c r="P25" s="142" t="str">
        <f t="shared" si="4"/>
        <v/>
      </c>
      <c r="Q25" s="143" t="str">
        <f t="shared" si="5"/>
        <v/>
      </c>
      <c r="R25" s="144" t="str">
        <f>IF(VLOOKUP($B25,'Satınalma Takvimi Veri Girişi'!$B$4:$AC$146,11,FALSE)&lt;&gt;"",VLOOKUP($B25,'Satınalma Takvimi Veri Girişi'!$B$4:$AC$146,11,FALSE),"")</f>
        <v/>
      </c>
      <c r="S25" s="141">
        <f>VLOOKUP($B25,Şablon!$E$3:$Q$255,8,FALSE)</f>
        <v>21</v>
      </c>
      <c r="T25" s="142" t="str">
        <f t="shared" si="6"/>
        <v/>
      </c>
      <c r="U25" s="143" t="str">
        <f t="shared" si="7"/>
        <v/>
      </c>
      <c r="V25" s="144" t="str">
        <f>IF(VLOOKUP($B25,'Satınalma Takvimi Veri Girişi'!$B$4:$AC$146,13,FALSE)&lt;&gt;"",VLOOKUP($B25,'Satınalma Takvimi Veri Girişi'!$B$4:$AC$146,13,FALSE),"")</f>
        <v/>
      </c>
      <c r="W25" s="141">
        <f>VLOOKUP($B25,Şablon!$E$3:$Q$255,9,FALSE)</f>
        <v>7</v>
      </c>
      <c r="X25" s="142" t="str">
        <f t="shared" si="8"/>
        <v/>
      </c>
      <c r="Y25" s="143" t="str">
        <f t="shared" si="9"/>
        <v/>
      </c>
      <c r="Z25" s="144" t="str">
        <f>IF(VLOOKUP($B25,'Satınalma Takvimi Veri Girişi'!$B$4:$AC$146,15,FALSE)&lt;&gt;"",VLOOKUP($B25,'Satınalma Takvimi Veri Girişi'!$B$4:$AC$146,15,FALSE),"")</f>
        <v/>
      </c>
      <c r="AA25" s="141">
        <f>VLOOKUP($B25,Şablon!$E$3:$Q$255,10,FALSE)</f>
        <v>7</v>
      </c>
      <c r="AB25" s="142" t="str">
        <f t="shared" si="10"/>
        <v/>
      </c>
      <c r="AC25" s="143" t="str">
        <f t="shared" si="11"/>
        <v/>
      </c>
      <c r="AD25" s="144" t="str">
        <f>IF(VLOOKUP($B25,'Satınalma Takvimi Veri Girişi'!$B$4:$AC$146,17,FALSE)&lt;&gt;"",VLOOKUP($B25,'Satınalma Takvimi Veri Girişi'!$B$4:$AC$146,17,FALSE),"")</f>
        <v/>
      </c>
      <c r="AE25" s="141">
        <f>(VLOOKUP($B25,Şablon!$E$3:$Q$255,11,FALSE)+VLOOKUP($B25,Şablon!$E$3:$Q$255,12,FALSE))</f>
        <v>21</v>
      </c>
      <c r="AF25" s="142" t="str">
        <f t="shared" si="12"/>
        <v/>
      </c>
      <c r="AG25" s="143" t="str">
        <f t="shared" si="13"/>
        <v/>
      </c>
      <c r="AH25" s="144" t="str">
        <f>IF(VLOOKUP($B25,'Satınalma Takvimi Veri Girişi'!$B$4:$AC$146,19,FALSE)&lt;&gt;"",VLOOKUP($B25,'Satınalma Takvimi Veri Girişi'!$B$4:$AC$146,19,FALSE),"")</f>
        <v/>
      </c>
      <c r="AI25" s="145" t="str">
        <f>IF(VLOOKUP($B25,'Satınalma Takvimi Veri Girişi'!$B$4:$AC$146,20,FALSE)&lt;&gt;"",VLOOKUP($B25,'Satınalma Takvimi Veri Girişi'!$B$4:$AC$146,20,FALSE),"")</f>
        <v/>
      </c>
      <c r="AJ25" s="144" t="str">
        <f>IF(VLOOKUP($B25,'Satınalma Takvimi Veri Girişi'!$B$4:$AC$146,21,FALSE)&lt;&gt;"",VLOOKUP($B25,'Satınalma Takvimi Veri Girişi'!$B$4:$AC$146,21,FALSE),"")</f>
        <v/>
      </c>
      <c r="AK25" s="146" t="str">
        <f>IF(VLOOKUP($B25,'Satınalma Takvimi Veri Girişi'!$B$4:$AC$146,22,FALSE)&lt;&gt;"",VLOOKUP($B25,'Satınalma Takvimi Veri Girişi'!$B$4:$AC$146,22,FALSE),"")</f>
        <v/>
      </c>
      <c r="AL25" s="147" t="str">
        <f>IF(VLOOKUP($B25,'Satınalma Takvimi Veri Girişi'!$B$4:$AC$146,23,FALSE)&lt;&gt;"",VLOOKUP($B25,'Satınalma Takvimi Veri Girişi'!$B$4:$AC$146,23,FALSE),"")</f>
        <v/>
      </c>
      <c r="AM25" s="147" t="str">
        <f>IF(VLOOKUP($B25,'Satınalma Takvimi Veri Girişi'!$B$4:$AC$146,24,FALSE)&lt;&gt;"",VLOOKUP($B25,'Satınalma Takvimi Veri Girişi'!$B$4:$AC$146,24,FALSE),"")</f>
        <v/>
      </c>
      <c r="AN25" s="147" t="str">
        <f>IF(VLOOKUP($B25,'Satınalma Takvimi Veri Girişi'!$B$4:$AC$146,25,FALSE)&lt;&gt;"",VLOOKUP($B25,'Satınalma Takvimi Veri Girişi'!$B$4:$AC$146,25,FALSE),"")</f>
        <v/>
      </c>
      <c r="AO25" s="147" t="str">
        <f>IF(VLOOKUP($B25,'Satınalma Takvimi Veri Girişi'!$B$4:$AC$146,26,FALSE)&lt;&gt;"",VLOOKUP($B25,'Satınalma Takvimi Veri Girişi'!$B$4:$AC$146,26,FALSE),"")</f>
        <v/>
      </c>
      <c r="AP25" s="147" t="str">
        <f>IF(VLOOKUP($B25,'Satınalma Takvimi Veri Girişi'!$B$4:$AC$146,27,FALSE)&lt;&gt;"",VLOOKUP($B25,'Satınalma Takvimi Veri Girişi'!$B$4:$AC$146,27,FALSE),"")</f>
        <v/>
      </c>
      <c r="AQ25" s="148" t="str">
        <f>IF(VLOOKUP($B25,'Satınalma Takvimi Veri Girişi'!$B$4:$AC$146,28,FALSE)&lt;&gt;"",VLOOKUP($B25,'Satınalma Takvimi Veri Girişi'!$B$4:$AC$146,28,FALSE),"")</f>
        <v/>
      </c>
    </row>
    <row r="26" spans="2:43" ht="19.95" customHeight="1" x14ac:dyDescent="0.3">
      <c r="B26" s="64" t="str">
        <f>Şablon!E25</f>
        <v>IHL.3028.023/1</v>
      </c>
      <c r="C26" s="139" t="str">
        <f>VLOOKUP($B26,Şablon!$E$3:$Q$255,2,FALSE)</f>
        <v>19.02.00 ALÜMİNYUM DOĞRAMA VE CEPHE KAPLAMA</v>
      </c>
      <c r="D26" s="161" t="str">
        <f>IF(VLOOKUP($B26,'Satınalma Takvimi Veri Girişi'!$B$4:$AC$146,3,FALSE)&lt;&gt;"",VLOOKUP($B26,'Satınalma Takvimi Veri Girişi'!$B$4:$AC$146,3,FALSE),"")</f>
        <v/>
      </c>
      <c r="E26" s="139" t="str">
        <f>VLOOKUP($B26,Şablon!$E$3:$Q$255,3,FALSE)</f>
        <v>A KATEGORİ</v>
      </c>
      <c r="F26" s="140" t="str">
        <f>VLOOKUP($B26,Şablon!$E$3:$Q$255,4,FALSE)</f>
        <v>İNŞ</v>
      </c>
      <c r="G26" s="141">
        <f>VLOOKUP($B26,Şablon!$E$3:$Q$255,5,FALSE)</f>
        <v>0</v>
      </c>
      <c r="H26" s="142" t="str">
        <f t="shared" si="0"/>
        <v/>
      </c>
      <c r="I26" s="143" t="str">
        <f t="shared" si="1"/>
        <v/>
      </c>
      <c r="J26" s="144" t="str">
        <f>IF(VLOOKUP($B26,'Satınalma Takvimi Veri Girişi'!$B$4:$AC$146,7,FALSE)&lt;&gt;"",VLOOKUP($B26,'Satınalma Takvimi Veri Girişi'!$B$4:$AC$146,7,FALSE),"")</f>
        <v/>
      </c>
      <c r="K26" s="141">
        <f>VLOOKUP($B26,Şablon!$E$3:$Q$255,6,FALSE)</f>
        <v>30</v>
      </c>
      <c r="L26" s="142" t="str">
        <f t="shared" si="2"/>
        <v/>
      </c>
      <c r="M26" s="143" t="str">
        <f t="shared" si="3"/>
        <v/>
      </c>
      <c r="N26" s="144" t="str">
        <f>IF(VLOOKUP($B26,'Satınalma Takvimi Veri Girişi'!$B$4:$AC$146,9,FALSE)&lt;&gt;"",VLOOKUP($B26,'Satınalma Takvimi Veri Girişi'!$B$4:$AC$146,9,FALSE),"")</f>
        <v/>
      </c>
      <c r="O26" s="141">
        <f>VLOOKUP($B26,Şablon!$E$3:$Q$255,7,FALSE)</f>
        <v>21</v>
      </c>
      <c r="P26" s="142" t="str">
        <f t="shared" si="4"/>
        <v/>
      </c>
      <c r="Q26" s="143" t="str">
        <f t="shared" si="5"/>
        <v/>
      </c>
      <c r="R26" s="144" t="str">
        <f>IF(VLOOKUP($B26,'Satınalma Takvimi Veri Girişi'!$B$4:$AC$146,11,FALSE)&lt;&gt;"",VLOOKUP($B26,'Satınalma Takvimi Veri Girişi'!$B$4:$AC$146,11,FALSE),"")</f>
        <v/>
      </c>
      <c r="S26" s="141">
        <f>VLOOKUP($B26,Şablon!$E$3:$Q$255,8,FALSE)</f>
        <v>60</v>
      </c>
      <c r="T26" s="142" t="str">
        <f t="shared" si="6"/>
        <v/>
      </c>
      <c r="U26" s="143" t="str">
        <f t="shared" si="7"/>
        <v/>
      </c>
      <c r="V26" s="144" t="str">
        <f>IF(VLOOKUP($B26,'Satınalma Takvimi Veri Girişi'!$B$4:$AC$146,13,FALSE)&lt;&gt;"",VLOOKUP($B26,'Satınalma Takvimi Veri Girişi'!$B$4:$AC$146,13,FALSE),"")</f>
        <v/>
      </c>
      <c r="W26" s="141">
        <f>VLOOKUP($B26,Şablon!$E$3:$Q$255,9,FALSE)</f>
        <v>10</v>
      </c>
      <c r="X26" s="142" t="str">
        <f t="shared" si="8"/>
        <v/>
      </c>
      <c r="Y26" s="143" t="str">
        <f t="shared" si="9"/>
        <v/>
      </c>
      <c r="Z26" s="144" t="str">
        <f>IF(VLOOKUP($B26,'Satınalma Takvimi Veri Girişi'!$B$4:$AC$146,15,FALSE)&lt;&gt;"",VLOOKUP($B26,'Satınalma Takvimi Veri Girişi'!$B$4:$AC$146,15,FALSE),"")</f>
        <v/>
      </c>
      <c r="AA26" s="141">
        <f>VLOOKUP($B26,Şablon!$E$3:$Q$255,10,FALSE)</f>
        <v>21</v>
      </c>
      <c r="AB26" s="142" t="str">
        <f t="shared" si="10"/>
        <v/>
      </c>
      <c r="AC26" s="143" t="str">
        <f t="shared" si="11"/>
        <v/>
      </c>
      <c r="AD26" s="144" t="str">
        <f>IF(VLOOKUP($B26,'Satınalma Takvimi Veri Girişi'!$B$4:$AC$146,17,FALSE)&lt;&gt;"",VLOOKUP($B26,'Satınalma Takvimi Veri Girişi'!$B$4:$AC$146,17,FALSE),"")</f>
        <v/>
      </c>
      <c r="AE26" s="141">
        <f>(VLOOKUP($B26,Şablon!$E$3:$Q$255,11,FALSE)+VLOOKUP($B26,Şablon!$E$3:$Q$255,12,FALSE))</f>
        <v>42</v>
      </c>
      <c r="AF26" s="142" t="str">
        <f t="shared" si="12"/>
        <v/>
      </c>
      <c r="AG26" s="143" t="str">
        <f t="shared" si="13"/>
        <v/>
      </c>
      <c r="AH26" s="144" t="str">
        <f>IF(VLOOKUP($B26,'Satınalma Takvimi Veri Girişi'!$B$4:$AC$146,19,FALSE)&lt;&gt;"",VLOOKUP($B26,'Satınalma Takvimi Veri Girişi'!$B$4:$AC$146,19,FALSE),"")</f>
        <v/>
      </c>
      <c r="AI26" s="145" t="str">
        <f>IF(VLOOKUP($B26,'Satınalma Takvimi Veri Girişi'!$B$4:$AC$146,20,FALSE)&lt;&gt;"",VLOOKUP($B26,'Satınalma Takvimi Veri Girişi'!$B$4:$AC$146,20,FALSE),"")</f>
        <v/>
      </c>
      <c r="AJ26" s="144" t="str">
        <f>IF(VLOOKUP($B26,'Satınalma Takvimi Veri Girişi'!$B$4:$AC$146,21,FALSE)&lt;&gt;"",VLOOKUP($B26,'Satınalma Takvimi Veri Girişi'!$B$4:$AC$146,21,FALSE),"")</f>
        <v/>
      </c>
      <c r="AK26" s="146" t="str">
        <f>IF(VLOOKUP($B26,'Satınalma Takvimi Veri Girişi'!$B$4:$AC$146,22,FALSE)&lt;&gt;"",VLOOKUP($B26,'Satınalma Takvimi Veri Girişi'!$B$4:$AC$146,22,FALSE),"")</f>
        <v/>
      </c>
      <c r="AL26" s="147" t="str">
        <f>IF(VLOOKUP($B26,'Satınalma Takvimi Veri Girişi'!$B$4:$AC$146,23,FALSE)&lt;&gt;"",VLOOKUP($B26,'Satınalma Takvimi Veri Girişi'!$B$4:$AC$146,23,FALSE),"")</f>
        <v/>
      </c>
      <c r="AM26" s="147" t="str">
        <f>IF(VLOOKUP($B26,'Satınalma Takvimi Veri Girişi'!$B$4:$AC$146,24,FALSE)&lt;&gt;"",VLOOKUP($B26,'Satınalma Takvimi Veri Girişi'!$B$4:$AC$146,24,FALSE),"")</f>
        <v/>
      </c>
      <c r="AN26" s="147" t="str">
        <f>IF(VLOOKUP($B26,'Satınalma Takvimi Veri Girişi'!$B$4:$AC$146,25,FALSE)&lt;&gt;"",VLOOKUP($B26,'Satınalma Takvimi Veri Girişi'!$B$4:$AC$146,25,FALSE),"")</f>
        <v/>
      </c>
      <c r="AO26" s="147" t="str">
        <f>IF(VLOOKUP($B26,'Satınalma Takvimi Veri Girişi'!$B$4:$AC$146,26,FALSE)&lt;&gt;"",VLOOKUP($B26,'Satınalma Takvimi Veri Girişi'!$B$4:$AC$146,26,FALSE),"")</f>
        <v/>
      </c>
      <c r="AP26" s="147" t="str">
        <f>IF(VLOOKUP($B26,'Satınalma Takvimi Veri Girişi'!$B$4:$AC$146,27,FALSE)&lt;&gt;"",VLOOKUP($B26,'Satınalma Takvimi Veri Girişi'!$B$4:$AC$146,27,FALSE),"")</f>
        <v/>
      </c>
      <c r="AQ26" s="148" t="str">
        <f>IF(VLOOKUP($B26,'Satınalma Takvimi Veri Girişi'!$B$4:$AC$146,28,FALSE)&lt;&gt;"",VLOOKUP($B26,'Satınalma Takvimi Veri Girişi'!$B$4:$AC$146,28,FALSE),"")</f>
        <v/>
      </c>
    </row>
    <row r="27" spans="2:43" ht="19.95" customHeight="1" x14ac:dyDescent="0.3">
      <c r="B27" s="64" t="str">
        <f>Şablon!E26</f>
        <v>IHL.3028.024/1</v>
      </c>
      <c r="C27" s="139" t="str">
        <f>VLOOKUP($B27,Şablon!$E$3:$Q$255,2,FALSE)</f>
        <v>19.03.00 PREKAST CEPHE KAPLAMA</v>
      </c>
      <c r="D27" s="161" t="str">
        <f>IF(VLOOKUP($B27,'Satınalma Takvimi Veri Girişi'!$B$4:$AC$146,3,FALSE)&lt;&gt;"",VLOOKUP($B27,'Satınalma Takvimi Veri Girişi'!$B$4:$AC$146,3,FALSE),"")</f>
        <v/>
      </c>
      <c r="E27" s="139" t="str">
        <f>VLOOKUP($B27,Şablon!$E$3:$Q$255,3,FALSE)</f>
        <v>A KATEGORİ</v>
      </c>
      <c r="F27" s="140" t="str">
        <f>VLOOKUP($B27,Şablon!$E$3:$Q$255,4,FALSE)</f>
        <v>İNŞ</v>
      </c>
      <c r="G27" s="141">
        <f>VLOOKUP($B27,Şablon!$E$3:$Q$255,5,FALSE)</f>
        <v>0</v>
      </c>
      <c r="H27" s="142" t="str">
        <f t="shared" si="0"/>
        <v/>
      </c>
      <c r="I27" s="143" t="str">
        <f t="shared" si="1"/>
        <v/>
      </c>
      <c r="J27" s="144" t="str">
        <f>IF(VLOOKUP($B27,'Satınalma Takvimi Veri Girişi'!$B$4:$AC$146,7,FALSE)&lt;&gt;"",VLOOKUP($B27,'Satınalma Takvimi Veri Girişi'!$B$4:$AC$146,7,FALSE),"")</f>
        <v/>
      </c>
      <c r="K27" s="141">
        <f>VLOOKUP($B27,Şablon!$E$3:$Q$255,6,FALSE)</f>
        <v>30</v>
      </c>
      <c r="L27" s="142" t="str">
        <f t="shared" si="2"/>
        <v/>
      </c>
      <c r="M27" s="143" t="str">
        <f t="shared" si="3"/>
        <v/>
      </c>
      <c r="N27" s="144" t="str">
        <f>IF(VLOOKUP($B27,'Satınalma Takvimi Veri Girişi'!$B$4:$AC$146,9,FALSE)&lt;&gt;"",VLOOKUP($B27,'Satınalma Takvimi Veri Girişi'!$B$4:$AC$146,9,FALSE),"")</f>
        <v/>
      </c>
      <c r="O27" s="141">
        <f>VLOOKUP($B27,Şablon!$E$3:$Q$255,7,FALSE)</f>
        <v>21</v>
      </c>
      <c r="P27" s="142" t="str">
        <f t="shared" si="4"/>
        <v/>
      </c>
      <c r="Q27" s="143" t="str">
        <f t="shared" si="5"/>
        <v/>
      </c>
      <c r="R27" s="144" t="str">
        <f>IF(VLOOKUP($B27,'Satınalma Takvimi Veri Girişi'!$B$4:$AC$146,11,FALSE)&lt;&gt;"",VLOOKUP($B27,'Satınalma Takvimi Veri Girişi'!$B$4:$AC$146,11,FALSE),"")</f>
        <v/>
      </c>
      <c r="S27" s="141">
        <f>VLOOKUP($B27,Şablon!$E$3:$Q$255,8,FALSE)</f>
        <v>60</v>
      </c>
      <c r="T27" s="142" t="str">
        <f t="shared" si="6"/>
        <v/>
      </c>
      <c r="U27" s="143" t="str">
        <f t="shared" si="7"/>
        <v/>
      </c>
      <c r="V27" s="144" t="str">
        <f>IF(VLOOKUP($B27,'Satınalma Takvimi Veri Girişi'!$B$4:$AC$146,13,FALSE)&lt;&gt;"",VLOOKUP($B27,'Satınalma Takvimi Veri Girişi'!$B$4:$AC$146,13,FALSE),"")</f>
        <v/>
      </c>
      <c r="W27" s="141">
        <f>VLOOKUP($B27,Şablon!$E$3:$Q$255,9,FALSE)</f>
        <v>10</v>
      </c>
      <c r="X27" s="142" t="str">
        <f t="shared" si="8"/>
        <v/>
      </c>
      <c r="Y27" s="143" t="str">
        <f t="shared" si="9"/>
        <v/>
      </c>
      <c r="Z27" s="144" t="str">
        <f>IF(VLOOKUP($B27,'Satınalma Takvimi Veri Girişi'!$B$4:$AC$146,15,FALSE)&lt;&gt;"",VLOOKUP($B27,'Satınalma Takvimi Veri Girişi'!$B$4:$AC$146,15,FALSE),"")</f>
        <v/>
      </c>
      <c r="AA27" s="141">
        <f>VLOOKUP($B27,Şablon!$E$3:$Q$255,10,FALSE)</f>
        <v>21</v>
      </c>
      <c r="AB27" s="142" t="str">
        <f t="shared" si="10"/>
        <v/>
      </c>
      <c r="AC27" s="143" t="str">
        <f t="shared" si="11"/>
        <v/>
      </c>
      <c r="AD27" s="144" t="str">
        <f>IF(VLOOKUP($B27,'Satınalma Takvimi Veri Girişi'!$B$4:$AC$146,17,FALSE)&lt;&gt;"",VLOOKUP($B27,'Satınalma Takvimi Veri Girişi'!$B$4:$AC$146,17,FALSE),"")</f>
        <v/>
      </c>
      <c r="AE27" s="141">
        <f>(VLOOKUP($B27,Şablon!$E$3:$Q$255,11,FALSE)+VLOOKUP($B27,Şablon!$E$3:$Q$255,12,FALSE))</f>
        <v>73</v>
      </c>
      <c r="AF27" s="142" t="str">
        <f t="shared" si="12"/>
        <v/>
      </c>
      <c r="AG27" s="143" t="str">
        <f t="shared" si="13"/>
        <v/>
      </c>
      <c r="AH27" s="144" t="str">
        <f>IF(VLOOKUP($B27,'Satınalma Takvimi Veri Girişi'!$B$4:$AC$146,19,FALSE)&lt;&gt;"",VLOOKUP($B27,'Satınalma Takvimi Veri Girişi'!$B$4:$AC$146,19,FALSE),"")</f>
        <v/>
      </c>
      <c r="AI27" s="145" t="str">
        <f>IF(VLOOKUP($B27,'Satınalma Takvimi Veri Girişi'!$B$4:$AC$146,20,FALSE)&lt;&gt;"",VLOOKUP($B27,'Satınalma Takvimi Veri Girişi'!$B$4:$AC$146,20,FALSE),"")</f>
        <v/>
      </c>
      <c r="AJ27" s="144" t="str">
        <f>IF(VLOOKUP($B27,'Satınalma Takvimi Veri Girişi'!$B$4:$AC$146,21,FALSE)&lt;&gt;"",VLOOKUP($B27,'Satınalma Takvimi Veri Girişi'!$B$4:$AC$146,21,FALSE),"")</f>
        <v/>
      </c>
      <c r="AK27" s="146" t="str">
        <f>IF(VLOOKUP($B27,'Satınalma Takvimi Veri Girişi'!$B$4:$AC$146,22,FALSE)&lt;&gt;"",VLOOKUP($B27,'Satınalma Takvimi Veri Girişi'!$B$4:$AC$146,22,FALSE),"")</f>
        <v/>
      </c>
      <c r="AL27" s="147" t="str">
        <f>IF(VLOOKUP($B27,'Satınalma Takvimi Veri Girişi'!$B$4:$AC$146,23,FALSE)&lt;&gt;"",VLOOKUP($B27,'Satınalma Takvimi Veri Girişi'!$B$4:$AC$146,23,FALSE),"")</f>
        <v/>
      </c>
      <c r="AM27" s="147" t="str">
        <f>IF(VLOOKUP($B27,'Satınalma Takvimi Veri Girişi'!$B$4:$AC$146,24,FALSE)&lt;&gt;"",VLOOKUP($B27,'Satınalma Takvimi Veri Girişi'!$B$4:$AC$146,24,FALSE),"")</f>
        <v/>
      </c>
      <c r="AN27" s="147" t="str">
        <f>IF(VLOOKUP($B27,'Satınalma Takvimi Veri Girişi'!$B$4:$AC$146,25,FALSE)&lt;&gt;"",VLOOKUP($B27,'Satınalma Takvimi Veri Girişi'!$B$4:$AC$146,25,FALSE),"")</f>
        <v/>
      </c>
      <c r="AO27" s="147" t="str">
        <f>IF(VLOOKUP($B27,'Satınalma Takvimi Veri Girişi'!$B$4:$AC$146,26,FALSE)&lt;&gt;"",VLOOKUP($B27,'Satınalma Takvimi Veri Girişi'!$B$4:$AC$146,26,FALSE),"")</f>
        <v/>
      </c>
      <c r="AP27" s="147" t="str">
        <f>IF(VLOOKUP($B27,'Satınalma Takvimi Veri Girişi'!$B$4:$AC$146,27,FALSE)&lt;&gt;"",VLOOKUP($B27,'Satınalma Takvimi Veri Girişi'!$B$4:$AC$146,27,FALSE),"")</f>
        <v/>
      </c>
      <c r="AQ27" s="148" t="str">
        <f>IF(VLOOKUP($B27,'Satınalma Takvimi Veri Girişi'!$B$4:$AC$146,28,FALSE)&lt;&gt;"",VLOOKUP($B27,'Satınalma Takvimi Veri Girişi'!$B$4:$AC$146,28,FALSE),"")</f>
        <v/>
      </c>
    </row>
    <row r="28" spans="2:43" ht="19.95" customHeight="1" x14ac:dyDescent="0.3">
      <c r="B28" s="64" t="str">
        <f>Şablon!E27</f>
        <v>IHL.3028.025/1</v>
      </c>
      <c r="C28" s="139" t="str">
        <f>VLOOKUP($B28,Şablon!$E$3:$Q$255,2,FALSE)</f>
        <v>19.03.01 DOĞALTAŞ CEPHE KAPLAMA İŞLERİ</v>
      </c>
      <c r="D28" s="161" t="str">
        <f>IF(VLOOKUP($B28,'Satınalma Takvimi Veri Girişi'!$B$4:$AC$146,3,FALSE)&lt;&gt;"",VLOOKUP($B28,'Satınalma Takvimi Veri Girişi'!$B$4:$AC$146,3,FALSE),"")</f>
        <v/>
      </c>
      <c r="E28" s="139" t="str">
        <f>VLOOKUP($B28,Şablon!$E$3:$Q$255,3,FALSE)</f>
        <v>A KATEGORİ</v>
      </c>
      <c r="F28" s="140" t="str">
        <f>VLOOKUP($B28,Şablon!$E$3:$Q$255,4,FALSE)</f>
        <v>İNŞ</v>
      </c>
      <c r="G28" s="141">
        <f>VLOOKUP($B28,Şablon!$E$3:$Q$255,5,FALSE)</f>
        <v>0</v>
      </c>
      <c r="H28" s="142" t="str">
        <f t="shared" si="0"/>
        <v/>
      </c>
      <c r="I28" s="143" t="str">
        <f t="shared" si="1"/>
        <v/>
      </c>
      <c r="J28" s="144" t="str">
        <f>IF(VLOOKUP($B28,'Satınalma Takvimi Veri Girişi'!$B$4:$AC$146,7,FALSE)&lt;&gt;"",VLOOKUP($B28,'Satınalma Takvimi Veri Girişi'!$B$4:$AC$146,7,FALSE),"")</f>
        <v/>
      </c>
      <c r="K28" s="141">
        <f>VLOOKUP($B28,Şablon!$E$3:$Q$255,6,FALSE)</f>
        <v>14</v>
      </c>
      <c r="L28" s="142" t="str">
        <f t="shared" si="2"/>
        <v/>
      </c>
      <c r="M28" s="143" t="str">
        <f t="shared" si="3"/>
        <v/>
      </c>
      <c r="N28" s="144" t="str">
        <f>IF(VLOOKUP($B28,'Satınalma Takvimi Veri Girişi'!$B$4:$AC$146,9,FALSE)&lt;&gt;"",VLOOKUP($B28,'Satınalma Takvimi Veri Girişi'!$B$4:$AC$146,9,FALSE),"")</f>
        <v/>
      </c>
      <c r="O28" s="141">
        <f>VLOOKUP($B28,Şablon!$E$3:$Q$255,7,FALSE)</f>
        <v>21</v>
      </c>
      <c r="P28" s="142" t="str">
        <f t="shared" si="4"/>
        <v/>
      </c>
      <c r="Q28" s="143" t="str">
        <f t="shared" si="5"/>
        <v/>
      </c>
      <c r="R28" s="144" t="str">
        <f>IF(VLOOKUP($B28,'Satınalma Takvimi Veri Girişi'!$B$4:$AC$146,11,FALSE)&lt;&gt;"",VLOOKUP($B28,'Satınalma Takvimi Veri Girişi'!$B$4:$AC$146,11,FALSE),"")</f>
        <v/>
      </c>
      <c r="S28" s="141">
        <f>VLOOKUP($B28,Şablon!$E$3:$Q$255,8,FALSE)</f>
        <v>45</v>
      </c>
      <c r="T28" s="142" t="str">
        <f t="shared" si="6"/>
        <v/>
      </c>
      <c r="U28" s="143" t="str">
        <f t="shared" si="7"/>
        <v/>
      </c>
      <c r="V28" s="144" t="str">
        <f>IF(VLOOKUP($B28,'Satınalma Takvimi Veri Girişi'!$B$4:$AC$146,13,FALSE)&lt;&gt;"",VLOOKUP($B28,'Satınalma Takvimi Veri Girişi'!$B$4:$AC$146,13,FALSE),"")</f>
        <v/>
      </c>
      <c r="W28" s="141">
        <f>VLOOKUP($B28,Şablon!$E$3:$Q$255,9,FALSE)</f>
        <v>10</v>
      </c>
      <c r="X28" s="142" t="str">
        <f t="shared" si="8"/>
        <v/>
      </c>
      <c r="Y28" s="143" t="str">
        <f t="shared" si="9"/>
        <v/>
      </c>
      <c r="Z28" s="144" t="str">
        <f>IF(VLOOKUP($B28,'Satınalma Takvimi Veri Girişi'!$B$4:$AC$146,15,FALSE)&lt;&gt;"",VLOOKUP($B28,'Satınalma Takvimi Veri Girişi'!$B$4:$AC$146,15,FALSE),"")</f>
        <v/>
      </c>
      <c r="AA28" s="141">
        <f>VLOOKUP($B28,Şablon!$E$3:$Q$255,10,FALSE)</f>
        <v>21</v>
      </c>
      <c r="AB28" s="142" t="str">
        <f t="shared" si="10"/>
        <v/>
      </c>
      <c r="AC28" s="143" t="str">
        <f t="shared" si="11"/>
        <v/>
      </c>
      <c r="AD28" s="144" t="str">
        <f>IF(VLOOKUP($B28,'Satınalma Takvimi Veri Girişi'!$B$4:$AC$146,17,FALSE)&lt;&gt;"",VLOOKUP($B28,'Satınalma Takvimi Veri Girişi'!$B$4:$AC$146,17,FALSE),"")</f>
        <v/>
      </c>
      <c r="AE28" s="141">
        <f>(VLOOKUP($B28,Şablon!$E$3:$Q$255,11,FALSE)+VLOOKUP($B28,Şablon!$E$3:$Q$255,12,FALSE))</f>
        <v>56</v>
      </c>
      <c r="AF28" s="142" t="str">
        <f t="shared" si="12"/>
        <v/>
      </c>
      <c r="AG28" s="143" t="str">
        <f t="shared" si="13"/>
        <v/>
      </c>
      <c r="AH28" s="144" t="str">
        <f>IF(VLOOKUP($B28,'Satınalma Takvimi Veri Girişi'!$B$4:$AC$146,19,FALSE)&lt;&gt;"",VLOOKUP($B28,'Satınalma Takvimi Veri Girişi'!$B$4:$AC$146,19,FALSE),"")</f>
        <v/>
      </c>
      <c r="AI28" s="145" t="str">
        <f>IF(VLOOKUP($B28,'Satınalma Takvimi Veri Girişi'!$B$4:$AC$146,20,FALSE)&lt;&gt;"",VLOOKUP($B28,'Satınalma Takvimi Veri Girişi'!$B$4:$AC$146,20,FALSE),"")</f>
        <v/>
      </c>
      <c r="AJ28" s="144" t="str">
        <f>IF(VLOOKUP($B28,'Satınalma Takvimi Veri Girişi'!$B$4:$AC$146,21,FALSE)&lt;&gt;"",VLOOKUP($B28,'Satınalma Takvimi Veri Girişi'!$B$4:$AC$146,21,FALSE),"")</f>
        <v/>
      </c>
      <c r="AK28" s="146" t="str">
        <f>IF(VLOOKUP($B28,'Satınalma Takvimi Veri Girişi'!$B$4:$AC$146,22,FALSE)&lt;&gt;"",VLOOKUP($B28,'Satınalma Takvimi Veri Girişi'!$B$4:$AC$146,22,FALSE),"")</f>
        <v/>
      </c>
      <c r="AL28" s="147" t="str">
        <f>IF(VLOOKUP($B28,'Satınalma Takvimi Veri Girişi'!$B$4:$AC$146,23,FALSE)&lt;&gt;"",VLOOKUP($B28,'Satınalma Takvimi Veri Girişi'!$B$4:$AC$146,23,FALSE),"")</f>
        <v/>
      </c>
      <c r="AM28" s="147" t="str">
        <f>IF(VLOOKUP($B28,'Satınalma Takvimi Veri Girişi'!$B$4:$AC$146,24,FALSE)&lt;&gt;"",VLOOKUP($B28,'Satınalma Takvimi Veri Girişi'!$B$4:$AC$146,24,FALSE),"")</f>
        <v/>
      </c>
      <c r="AN28" s="147" t="str">
        <f>IF(VLOOKUP($B28,'Satınalma Takvimi Veri Girişi'!$B$4:$AC$146,25,FALSE)&lt;&gt;"",VLOOKUP($B28,'Satınalma Takvimi Veri Girişi'!$B$4:$AC$146,25,FALSE),"")</f>
        <v/>
      </c>
      <c r="AO28" s="147" t="str">
        <f>IF(VLOOKUP($B28,'Satınalma Takvimi Veri Girişi'!$B$4:$AC$146,26,FALSE)&lt;&gt;"",VLOOKUP($B28,'Satınalma Takvimi Veri Girişi'!$B$4:$AC$146,26,FALSE),"")</f>
        <v/>
      </c>
      <c r="AP28" s="147" t="str">
        <f>IF(VLOOKUP($B28,'Satınalma Takvimi Veri Girişi'!$B$4:$AC$146,27,FALSE)&lt;&gt;"",VLOOKUP($B28,'Satınalma Takvimi Veri Girişi'!$B$4:$AC$146,27,FALSE),"")</f>
        <v/>
      </c>
      <c r="AQ28" s="148" t="str">
        <f>IF(VLOOKUP($B28,'Satınalma Takvimi Veri Girişi'!$B$4:$AC$146,28,FALSE)&lt;&gt;"",VLOOKUP($B28,'Satınalma Takvimi Veri Girişi'!$B$4:$AC$146,28,FALSE),"")</f>
        <v/>
      </c>
    </row>
    <row r="29" spans="2:43" ht="19.95" customHeight="1" x14ac:dyDescent="0.3">
      <c r="B29" s="64" t="str">
        <f>Şablon!E28</f>
        <v>IHL.3028.026/1</v>
      </c>
      <c r="C29" s="139" t="str">
        <f>VLOOKUP($B29,Şablon!$E$3:$Q$255,2,FALSE)</f>
        <v>19.03.02 THERMOWOOD CEPHE KAPLAMA İŞLERİ</v>
      </c>
      <c r="D29" s="161" t="str">
        <f>IF(VLOOKUP($B29,'Satınalma Takvimi Veri Girişi'!$B$4:$AC$146,3,FALSE)&lt;&gt;"",VLOOKUP($B29,'Satınalma Takvimi Veri Girişi'!$B$4:$AC$146,3,FALSE),"")</f>
        <v/>
      </c>
      <c r="E29" s="139" t="str">
        <f>VLOOKUP($B29,Şablon!$E$3:$Q$255,3,FALSE)</f>
        <v>A KATEGORİ</v>
      </c>
      <c r="F29" s="140" t="str">
        <f>VLOOKUP($B29,Şablon!$E$3:$Q$255,4,FALSE)</f>
        <v>İNŞ</v>
      </c>
      <c r="G29" s="141">
        <f>VLOOKUP($B29,Şablon!$E$3:$Q$255,5,FALSE)</f>
        <v>0</v>
      </c>
      <c r="H29" s="142" t="str">
        <f t="shared" si="0"/>
        <v/>
      </c>
      <c r="I29" s="143" t="str">
        <f t="shared" si="1"/>
        <v/>
      </c>
      <c r="J29" s="144" t="str">
        <f>IF(VLOOKUP($B29,'Satınalma Takvimi Veri Girişi'!$B$4:$AC$146,7,FALSE)&lt;&gt;"",VLOOKUP($B29,'Satınalma Takvimi Veri Girişi'!$B$4:$AC$146,7,FALSE),"")</f>
        <v/>
      </c>
      <c r="K29" s="141">
        <f>VLOOKUP($B29,Şablon!$E$3:$Q$255,6,FALSE)</f>
        <v>14</v>
      </c>
      <c r="L29" s="142" t="str">
        <f t="shared" si="2"/>
        <v/>
      </c>
      <c r="M29" s="143" t="str">
        <f t="shared" si="3"/>
        <v/>
      </c>
      <c r="N29" s="144" t="str">
        <f>IF(VLOOKUP($B29,'Satınalma Takvimi Veri Girişi'!$B$4:$AC$146,9,FALSE)&lt;&gt;"",VLOOKUP($B29,'Satınalma Takvimi Veri Girişi'!$B$4:$AC$146,9,FALSE),"")</f>
        <v/>
      </c>
      <c r="O29" s="141">
        <f>VLOOKUP($B29,Şablon!$E$3:$Q$255,7,FALSE)</f>
        <v>14</v>
      </c>
      <c r="P29" s="142" t="str">
        <f t="shared" si="4"/>
        <v/>
      </c>
      <c r="Q29" s="143" t="str">
        <f t="shared" si="5"/>
        <v/>
      </c>
      <c r="R29" s="144" t="str">
        <f>IF(VLOOKUP($B29,'Satınalma Takvimi Veri Girişi'!$B$4:$AC$146,11,FALSE)&lt;&gt;"",VLOOKUP($B29,'Satınalma Takvimi Veri Girişi'!$B$4:$AC$146,11,FALSE),"")</f>
        <v/>
      </c>
      <c r="S29" s="141">
        <f>VLOOKUP($B29,Şablon!$E$3:$Q$255,8,FALSE)</f>
        <v>28</v>
      </c>
      <c r="T29" s="142" t="str">
        <f t="shared" si="6"/>
        <v/>
      </c>
      <c r="U29" s="143" t="str">
        <f t="shared" si="7"/>
        <v/>
      </c>
      <c r="V29" s="144" t="str">
        <f>IF(VLOOKUP($B29,'Satınalma Takvimi Veri Girişi'!$B$4:$AC$146,13,FALSE)&lt;&gt;"",VLOOKUP($B29,'Satınalma Takvimi Veri Girişi'!$B$4:$AC$146,13,FALSE),"")</f>
        <v/>
      </c>
      <c r="W29" s="141">
        <f>VLOOKUP($B29,Şablon!$E$3:$Q$255,9,FALSE)</f>
        <v>10</v>
      </c>
      <c r="X29" s="142" t="str">
        <f t="shared" si="8"/>
        <v/>
      </c>
      <c r="Y29" s="143" t="str">
        <f t="shared" si="9"/>
        <v/>
      </c>
      <c r="Z29" s="144" t="str">
        <f>IF(VLOOKUP($B29,'Satınalma Takvimi Veri Girişi'!$B$4:$AC$146,15,FALSE)&lt;&gt;"",VLOOKUP($B29,'Satınalma Takvimi Veri Girişi'!$B$4:$AC$146,15,FALSE),"")</f>
        <v/>
      </c>
      <c r="AA29" s="141">
        <f>VLOOKUP($B29,Şablon!$E$3:$Q$255,10,FALSE)</f>
        <v>14</v>
      </c>
      <c r="AB29" s="142" t="str">
        <f t="shared" si="10"/>
        <v/>
      </c>
      <c r="AC29" s="143" t="str">
        <f t="shared" si="11"/>
        <v/>
      </c>
      <c r="AD29" s="144" t="str">
        <f>IF(VLOOKUP($B29,'Satınalma Takvimi Veri Girişi'!$B$4:$AC$146,17,FALSE)&lt;&gt;"",VLOOKUP($B29,'Satınalma Takvimi Veri Girişi'!$B$4:$AC$146,17,FALSE),"")</f>
        <v/>
      </c>
      <c r="AE29" s="141">
        <f>(VLOOKUP($B29,Şablon!$E$3:$Q$255,11,FALSE)+VLOOKUP($B29,Şablon!$E$3:$Q$255,12,FALSE))</f>
        <v>42</v>
      </c>
      <c r="AF29" s="142" t="str">
        <f t="shared" si="12"/>
        <v/>
      </c>
      <c r="AG29" s="143" t="str">
        <f t="shared" si="13"/>
        <v/>
      </c>
      <c r="AH29" s="144" t="str">
        <f>IF(VLOOKUP($B29,'Satınalma Takvimi Veri Girişi'!$B$4:$AC$146,19,FALSE)&lt;&gt;"",VLOOKUP($B29,'Satınalma Takvimi Veri Girişi'!$B$4:$AC$146,19,FALSE),"")</f>
        <v/>
      </c>
      <c r="AI29" s="145" t="str">
        <f>IF(VLOOKUP($B29,'Satınalma Takvimi Veri Girişi'!$B$4:$AC$146,20,FALSE)&lt;&gt;"",VLOOKUP($B29,'Satınalma Takvimi Veri Girişi'!$B$4:$AC$146,20,FALSE),"")</f>
        <v/>
      </c>
      <c r="AJ29" s="144" t="str">
        <f>IF(VLOOKUP($B29,'Satınalma Takvimi Veri Girişi'!$B$4:$AC$146,21,FALSE)&lt;&gt;"",VLOOKUP($B29,'Satınalma Takvimi Veri Girişi'!$B$4:$AC$146,21,FALSE),"")</f>
        <v/>
      </c>
      <c r="AK29" s="146" t="str">
        <f>IF(VLOOKUP($B29,'Satınalma Takvimi Veri Girişi'!$B$4:$AC$146,22,FALSE)&lt;&gt;"",VLOOKUP($B29,'Satınalma Takvimi Veri Girişi'!$B$4:$AC$146,22,FALSE),"")</f>
        <v/>
      </c>
      <c r="AL29" s="147" t="str">
        <f>IF(VLOOKUP($B29,'Satınalma Takvimi Veri Girişi'!$B$4:$AC$146,23,FALSE)&lt;&gt;"",VLOOKUP($B29,'Satınalma Takvimi Veri Girişi'!$B$4:$AC$146,23,FALSE),"")</f>
        <v/>
      </c>
      <c r="AM29" s="147" t="str">
        <f>IF(VLOOKUP($B29,'Satınalma Takvimi Veri Girişi'!$B$4:$AC$146,24,FALSE)&lt;&gt;"",VLOOKUP($B29,'Satınalma Takvimi Veri Girişi'!$B$4:$AC$146,24,FALSE),"")</f>
        <v/>
      </c>
      <c r="AN29" s="147" t="str">
        <f>IF(VLOOKUP($B29,'Satınalma Takvimi Veri Girişi'!$B$4:$AC$146,25,FALSE)&lt;&gt;"",VLOOKUP($B29,'Satınalma Takvimi Veri Girişi'!$B$4:$AC$146,25,FALSE),"")</f>
        <v/>
      </c>
      <c r="AO29" s="147" t="str">
        <f>IF(VLOOKUP($B29,'Satınalma Takvimi Veri Girişi'!$B$4:$AC$146,26,FALSE)&lt;&gt;"",VLOOKUP($B29,'Satınalma Takvimi Veri Girişi'!$B$4:$AC$146,26,FALSE),"")</f>
        <v/>
      </c>
      <c r="AP29" s="147" t="str">
        <f>IF(VLOOKUP($B29,'Satınalma Takvimi Veri Girişi'!$B$4:$AC$146,27,FALSE)&lt;&gt;"",VLOOKUP($B29,'Satınalma Takvimi Veri Girişi'!$B$4:$AC$146,27,FALSE),"")</f>
        <v/>
      </c>
      <c r="AQ29" s="148" t="str">
        <f>IF(VLOOKUP($B29,'Satınalma Takvimi Veri Girişi'!$B$4:$AC$146,28,FALSE)&lt;&gt;"",VLOOKUP($B29,'Satınalma Takvimi Veri Girişi'!$B$4:$AC$146,28,FALSE),"")</f>
        <v/>
      </c>
    </row>
    <row r="30" spans="2:43" ht="19.95" customHeight="1" x14ac:dyDescent="0.3">
      <c r="B30" s="64" t="str">
        <f>Şablon!E29</f>
        <v>IHL.3028.027/1</v>
      </c>
      <c r="C30" s="139" t="str">
        <f>VLOOKUP($B30,Şablon!$E$3:$Q$255,2,FALSE)</f>
        <v>19.03.03 FIBERCEMENT CEPHE KAPLAMA İŞLERİ</v>
      </c>
      <c r="D30" s="161" t="str">
        <f>IF(VLOOKUP($B30,'Satınalma Takvimi Veri Girişi'!$B$4:$AC$146,3,FALSE)&lt;&gt;"",VLOOKUP($B30,'Satınalma Takvimi Veri Girişi'!$B$4:$AC$146,3,FALSE),"")</f>
        <v/>
      </c>
      <c r="E30" s="139" t="str">
        <f>VLOOKUP($B30,Şablon!$E$3:$Q$255,3,FALSE)</f>
        <v>A KATEGORİ</v>
      </c>
      <c r="F30" s="140" t="str">
        <f>VLOOKUP($B30,Şablon!$E$3:$Q$255,4,FALSE)</f>
        <v>İNŞ</v>
      </c>
      <c r="G30" s="141">
        <f>VLOOKUP($B30,Şablon!$E$3:$Q$255,5,FALSE)</f>
        <v>0</v>
      </c>
      <c r="H30" s="142" t="str">
        <f t="shared" si="0"/>
        <v/>
      </c>
      <c r="I30" s="143" t="str">
        <f t="shared" si="1"/>
        <v/>
      </c>
      <c r="J30" s="144" t="str">
        <f>IF(VLOOKUP($B30,'Satınalma Takvimi Veri Girişi'!$B$4:$AC$146,7,FALSE)&lt;&gt;"",VLOOKUP($B30,'Satınalma Takvimi Veri Girişi'!$B$4:$AC$146,7,FALSE),"")</f>
        <v/>
      </c>
      <c r="K30" s="141">
        <f>VLOOKUP($B30,Şablon!$E$3:$Q$255,6,FALSE)</f>
        <v>14</v>
      </c>
      <c r="L30" s="142" t="str">
        <f t="shared" si="2"/>
        <v/>
      </c>
      <c r="M30" s="143" t="str">
        <f t="shared" si="3"/>
        <v/>
      </c>
      <c r="N30" s="144" t="str">
        <f>IF(VLOOKUP($B30,'Satınalma Takvimi Veri Girişi'!$B$4:$AC$146,9,FALSE)&lt;&gt;"",VLOOKUP($B30,'Satınalma Takvimi Veri Girişi'!$B$4:$AC$146,9,FALSE),"")</f>
        <v/>
      </c>
      <c r="O30" s="141">
        <f>VLOOKUP($B30,Şablon!$E$3:$Q$255,7,FALSE)</f>
        <v>14</v>
      </c>
      <c r="P30" s="142" t="str">
        <f t="shared" si="4"/>
        <v/>
      </c>
      <c r="Q30" s="143" t="str">
        <f t="shared" si="5"/>
        <v/>
      </c>
      <c r="R30" s="144" t="str">
        <f>IF(VLOOKUP($B30,'Satınalma Takvimi Veri Girişi'!$B$4:$AC$146,11,FALSE)&lt;&gt;"",VLOOKUP($B30,'Satınalma Takvimi Veri Girişi'!$B$4:$AC$146,11,FALSE),"")</f>
        <v/>
      </c>
      <c r="S30" s="141">
        <f>VLOOKUP($B30,Şablon!$E$3:$Q$255,8,FALSE)</f>
        <v>28</v>
      </c>
      <c r="T30" s="142" t="str">
        <f t="shared" si="6"/>
        <v/>
      </c>
      <c r="U30" s="143" t="str">
        <f t="shared" si="7"/>
        <v/>
      </c>
      <c r="V30" s="144" t="str">
        <f>IF(VLOOKUP($B30,'Satınalma Takvimi Veri Girişi'!$B$4:$AC$146,13,FALSE)&lt;&gt;"",VLOOKUP($B30,'Satınalma Takvimi Veri Girişi'!$B$4:$AC$146,13,FALSE),"")</f>
        <v/>
      </c>
      <c r="W30" s="141">
        <f>VLOOKUP($B30,Şablon!$E$3:$Q$255,9,FALSE)</f>
        <v>10</v>
      </c>
      <c r="X30" s="142" t="str">
        <f t="shared" si="8"/>
        <v/>
      </c>
      <c r="Y30" s="143" t="str">
        <f t="shared" si="9"/>
        <v/>
      </c>
      <c r="Z30" s="144" t="str">
        <f>IF(VLOOKUP($B30,'Satınalma Takvimi Veri Girişi'!$B$4:$AC$146,15,FALSE)&lt;&gt;"",VLOOKUP($B30,'Satınalma Takvimi Veri Girişi'!$B$4:$AC$146,15,FALSE),"")</f>
        <v/>
      </c>
      <c r="AA30" s="141">
        <f>VLOOKUP($B30,Şablon!$E$3:$Q$255,10,FALSE)</f>
        <v>14</v>
      </c>
      <c r="AB30" s="142" t="str">
        <f t="shared" si="10"/>
        <v/>
      </c>
      <c r="AC30" s="143" t="str">
        <f t="shared" si="11"/>
        <v/>
      </c>
      <c r="AD30" s="144" t="str">
        <f>IF(VLOOKUP($B30,'Satınalma Takvimi Veri Girişi'!$B$4:$AC$146,17,FALSE)&lt;&gt;"",VLOOKUP($B30,'Satınalma Takvimi Veri Girişi'!$B$4:$AC$146,17,FALSE),"")</f>
        <v/>
      </c>
      <c r="AE30" s="141">
        <f>(VLOOKUP($B30,Şablon!$E$3:$Q$255,11,FALSE)+VLOOKUP($B30,Şablon!$E$3:$Q$255,12,FALSE))</f>
        <v>42</v>
      </c>
      <c r="AF30" s="142" t="str">
        <f t="shared" si="12"/>
        <v/>
      </c>
      <c r="AG30" s="143" t="str">
        <f t="shared" si="13"/>
        <v/>
      </c>
      <c r="AH30" s="144" t="str">
        <f>IF(VLOOKUP($B30,'Satınalma Takvimi Veri Girişi'!$B$4:$AC$146,19,FALSE)&lt;&gt;"",VLOOKUP($B30,'Satınalma Takvimi Veri Girişi'!$B$4:$AC$146,19,FALSE),"")</f>
        <v/>
      </c>
      <c r="AI30" s="145" t="str">
        <f>IF(VLOOKUP($B30,'Satınalma Takvimi Veri Girişi'!$B$4:$AC$146,20,FALSE)&lt;&gt;"",VLOOKUP($B30,'Satınalma Takvimi Veri Girişi'!$B$4:$AC$146,20,FALSE),"")</f>
        <v/>
      </c>
      <c r="AJ30" s="144" t="str">
        <f>IF(VLOOKUP($B30,'Satınalma Takvimi Veri Girişi'!$B$4:$AC$146,21,FALSE)&lt;&gt;"",VLOOKUP($B30,'Satınalma Takvimi Veri Girişi'!$B$4:$AC$146,21,FALSE),"")</f>
        <v/>
      </c>
      <c r="AK30" s="146" t="str">
        <f>IF(VLOOKUP($B30,'Satınalma Takvimi Veri Girişi'!$B$4:$AC$146,22,FALSE)&lt;&gt;"",VLOOKUP($B30,'Satınalma Takvimi Veri Girişi'!$B$4:$AC$146,22,FALSE),"")</f>
        <v/>
      </c>
      <c r="AL30" s="147" t="str">
        <f>IF(VLOOKUP($B30,'Satınalma Takvimi Veri Girişi'!$B$4:$AC$146,23,FALSE)&lt;&gt;"",VLOOKUP($B30,'Satınalma Takvimi Veri Girişi'!$B$4:$AC$146,23,FALSE),"")</f>
        <v/>
      </c>
      <c r="AM30" s="147" t="str">
        <f>IF(VLOOKUP($B30,'Satınalma Takvimi Veri Girişi'!$B$4:$AC$146,24,FALSE)&lt;&gt;"",VLOOKUP($B30,'Satınalma Takvimi Veri Girişi'!$B$4:$AC$146,24,FALSE),"")</f>
        <v/>
      </c>
      <c r="AN30" s="147" t="str">
        <f>IF(VLOOKUP($B30,'Satınalma Takvimi Veri Girişi'!$B$4:$AC$146,25,FALSE)&lt;&gt;"",VLOOKUP($B30,'Satınalma Takvimi Veri Girişi'!$B$4:$AC$146,25,FALSE),"")</f>
        <v/>
      </c>
      <c r="AO30" s="147" t="str">
        <f>IF(VLOOKUP($B30,'Satınalma Takvimi Veri Girişi'!$B$4:$AC$146,26,FALSE)&lt;&gt;"",VLOOKUP($B30,'Satınalma Takvimi Veri Girişi'!$B$4:$AC$146,26,FALSE),"")</f>
        <v/>
      </c>
      <c r="AP30" s="147" t="str">
        <f>IF(VLOOKUP($B30,'Satınalma Takvimi Veri Girişi'!$B$4:$AC$146,27,FALSE)&lt;&gt;"",VLOOKUP($B30,'Satınalma Takvimi Veri Girişi'!$B$4:$AC$146,27,FALSE),"")</f>
        <v/>
      </c>
      <c r="AQ30" s="148" t="str">
        <f>IF(VLOOKUP($B30,'Satınalma Takvimi Veri Girişi'!$B$4:$AC$146,28,FALSE)&lt;&gt;"",VLOOKUP($B30,'Satınalma Takvimi Veri Girişi'!$B$4:$AC$146,28,FALSE),"")</f>
        <v/>
      </c>
    </row>
    <row r="31" spans="2:43" ht="19.95" customHeight="1" x14ac:dyDescent="0.3">
      <c r="B31" s="64" t="str">
        <f>Şablon!E30</f>
        <v>IHL.3028.028/1</v>
      </c>
      <c r="C31" s="139" t="str">
        <f>VLOOKUP($B31,Şablon!$E$3:$Q$255,2,FALSE)</f>
        <v>19.01.01 DIŞ CEPHE SIVA &amp; BOYA İŞLERİ</v>
      </c>
      <c r="D31" s="161" t="str">
        <f>IF(VLOOKUP($B31,'Satınalma Takvimi Veri Girişi'!$B$4:$AC$146,3,FALSE)&lt;&gt;"",VLOOKUP($B31,'Satınalma Takvimi Veri Girişi'!$B$4:$AC$146,3,FALSE),"")</f>
        <v/>
      </c>
      <c r="E31" s="139" t="str">
        <f>VLOOKUP($B31,Şablon!$E$3:$Q$255,3,FALSE)</f>
        <v>A KATEGORİ</v>
      </c>
      <c r="F31" s="140" t="str">
        <f>VLOOKUP($B31,Şablon!$E$3:$Q$255,4,FALSE)</f>
        <v>İNŞ</v>
      </c>
      <c r="G31" s="141">
        <f>VLOOKUP($B31,Şablon!$E$3:$Q$255,5,FALSE)</f>
        <v>0</v>
      </c>
      <c r="H31" s="142" t="str">
        <f t="shared" si="0"/>
        <v/>
      </c>
      <c r="I31" s="143" t="str">
        <f t="shared" si="1"/>
        <v/>
      </c>
      <c r="J31" s="144" t="str">
        <f>IF(VLOOKUP($B31,'Satınalma Takvimi Veri Girişi'!$B$4:$AC$146,7,FALSE)&lt;&gt;"",VLOOKUP($B31,'Satınalma Takvimi Veri Girişi'!$B$4:$AC$146,7,FALSE),"")</f>
        <v/>
      </c>
      <c r="K31" s="141">
        <f>VLOOKUP($B31,Şablon!$E$3:$Q$255,6,FALSE)</f>
        <v>14</v>
      </c>
      <c r="L31" s="142" t="str">
        <f t="shared" si="2"/>
        <v/>
      </c>
      <c r="M31" s="143" t="str">
        <f t="shared" si="3"/>
        <v/>
      </c>
      <c r="N31" s="144" t="str">
        <f>IF(VLOOKUP($B31,'Satınalma Takvimi Veri Girişi'!$B$4:$AC$146,9,FALSE)&lt;&gt;"",VLOOKUP($B31,'Satınalma Takvimi Veri Girişi'!$B$4:$AC$146,9,FALSE),"")</f>
        <v/>
      </c>
      <c r="O31" s="141">
        <f>VLOOKUP($B31,Şablon!$E$3:$Q$255,7,FALSE)</f>
        <v>7</v>
      </c>
      <c r="P31" s="142" t="str">
        <f t="shared" si="4"/>
        <v/>
      </c>
      <c r="Q31" s="143" t="str">
        <f t="shared" si="5"/>
        <v/>
      </c>
      <c r="R31" s="144" t="str">
        <f>IF(VLOOKUP($B31,'Satınalma Takvimi Veri Girişi'!$B$4:$AC$146,11,FALSE)&lt;&gt;"",VLOOKUP($B31,'Satınalma Takvimi Veri Girişi'!$B$4:$AC$146,11,FALSE),"")</f>
        <v/>
      </c>
      <c r="S31" s="141">
        <f>VLOOKUP($B31,Şablon!$E$3:$Q$255,8,FALSE)</f>
        <v>28</v>
      </c>
      <c r="T31" s="142" t="str">
        <f t="shared" si="6"/>
        <v/>
      </c>
      <c r="U31" s="143" t="str">
        <f t="shared" si="7"/>
        <v/>
      </c>
      <c r="V31" s="144" t="str">
        <f>IF(VLOOKUP($B31,'Satınalma Takvimi Veri Girişi'!$B$4:$AC$146,13,FALSE)&lt;&gt;"",VLOOKUP($B31,'Satınalma Takvimi Veri Girişi'!$B$4:$AC$146,13,FALSE),"")</f>
        <v/>
      </c>
      <c r="W31" s="141">
        <f>VLOOKUP($B31,Şablon!$E$3:$Q$255,9,FALSE)</f>
        <v>10</v>
      </c>
      <c r="X31" s="142" t="str">
        <f t="shared" si="8"/>
        <v/>
      </c>
      <c r="Y31" s="143" t="str">
        <f t="shared" si="9"/>
        <v/>
      </c>
      <c r="Z31" s="144" t="str">
        <f>IF(VLOOKUP($B31,'Satınalma Takvimi Veri Girişi'!$B$4:$AC$146,15,FALSE)&lt;&gt;"",VLOOKUP($B31,'Satınalma Takvimi Veri Girişi'!$B$4:$AC$146,15,FALSE),"")</f>
        <v/>
      </c>
      <c r="AA31" s="141">
        <f>VLOOKUP($B31,Şablon!$E$3:$Q$255,10,FALSE)</f>
        <v>14</v>
      </c>
      <c r="AB31" s="142" t="str">
        <f t="shared" si="10"/>
        <v/>
      </c>
      <c r="AC31" s="143" t="str">
        <f t="shared" si="11"/>
        <v/>
      </c>
      <c r="AD31" s="144" t="str">
        <f>IF(VLOOKUP($B31,'Satınalma Takvimi Veri Girişi'!$B$4:$AC$146,17,FALSE)&lt;&gt;"",VLOOKUP($B31,'Satınalma Takvimi Veri Girişi'!$B$4:$AC$146,17,FALSE),"")</f>
        <v/>
      </c>
      <c r="AE31" s="141">
        <f>(VLOOKUP($B31,Şablon!$E$3:$Q$255,11,FALSE)+VLOOKUP($B31,Şablon!$E$3:$Q$255,12,FALSE))</f>
        <v>7</v>
      </c>
      <c r="AF31" s="142" t="str">
        <f t="shared" si="12"/>
        <v/>
      </c>
      <c r="AG31" s="143" t="str">
        <f t="shared" si="13"/>
        <v/>
      </c>
      <c r="AH31" s="144" t="str">
        <f>IF(VLOOKUP($B31,'Satınalma Takvimi Veri Girişi'!$B$4:$AC$146,19,FALSE)&lt;&gt;"",VLOOKUP($B31,'Satınalma Takvimi Veri Girişi'!$B$4:$AC$146,19,FALSE),"")</f>
        <v/>
      </c>
      <c r="AI31" s="145" t="str">
        <f>IF(VLOOKUP($B31,'Satınalma Takvimi Veri Girişi'!$B$4:$AC$146,20,FALSE)&lt;&gt;"",VLOOKUP($B31,'Satınalma Takvimi Veri Girişi'!$B$4:$AC$146,20,FALSE),"")</f>
        <v/>
      </c>
      <c r="AJ31" s="144" t="str">
        <f>IF(VLOOKUP($B31,'Satınalma Takvimi Veri Girişi'!$B$4:$AC$146,21,FALSE)&lt;&gt;"",VLOOKUP($B31,'Satınalma Takvimi Veri Girişi'!$B$4:$AC$146,21,FALSE),"")</f>
        <v/>
      </c>
      <c r="AK31" s="146" t="str">
        <f>IF(VLOOKUP($B31,'Satınalma Takvimi Veri Girişi'!$B$4:$AC$146,22,FALSE)&lt;&gt;"",VLOOKUP($B31,'Satınalma Takvimi Veri Girişi'!$B$4:$AC$146,22,FALSE),"")</f>
        <v/>
      </c>
      <c r="AL31" s="147" t="str">
        <f>IF(VLOOKUP($B31,'Satınalma Takvimi Veri Girişi'!$B$4:$AC$146,23,FALSE)&lt;&gt;"",VLOOKUP($B31,'Satınalma Takvimi Veri Girişi'!$B$4:$AC$146,23,FALSE),"")</f>
        <v/>
      </c>
      <c r="AM31" s="147" t="str">
        <f>IF(VLOOKUP($B31,'Satınalma Takvimi Veri Girişi'!$B$4:$AC$146,24,FALSE)&lt;&gt;"",VLOOKUP($B31,'Satınalma Takvimi Veri Girişi'!$B$4:$AC$146,24,FALSE),"")</f>
        <v/>
      </c>
      <c r="AN31" s="147" t="str">
        <f>IF(VLOOKUP($B31,'Satınalma Takvimi Veri Girişi'!$B$4:$AC$146,25,FALSE)&lt;&gt;"",VLOOKUP($B31,'Satınalma Takvimi Veri Girişi'!$B$4:$AC$146,25,FALSE),"")</f>
        <v/>
      </c>
      <c r="AO31" s="147" t="str">
        <f>IF(VLOOKUP($B31,'Satınalma Takvimi Veri Girişi'!$B$4:$AC$146,26,FALSE)&lt;&gt;"",VLOOKUP($B31,'Satınalma Takvimi Veri Girişi'!$B$4:$AC$146,26,FALSE),"")</f>
        <v/>
      </c>
      <c r="AP31" s="147" t="str">
        <f>IF(VLOOKUP($B31,'Satınalma Takvimi Veri Girişi'!$B$4:$AC$146,27,FALSE)&lt;&gt;"",VLOOKUP($B31,'Satınalma Takvimi Veri Girişi'!$B$4:$AC$146,27,FALSE),"")</f>
        <v/>
      </c>
      <c r="AQ31" s="148" t="str">
        <f>IF(VLOOKUP($B31,'Satınalma Takvimi Veri Girişi'!$B$4:$AC$146,28,FALSE)&lt;&gt;"",VLOOKUP($B31,'Satınalma Takvimi Veri Girişi'!$B$4:$AC$146,28,FALSE),"")</f>
        <v/>
      </c>
    </row>
    <row r="32" spans="2:43" ht="19.95" customHeight="1" x14ac:dyDescent="0.3">
      <c r="B32" s="64" t="str">
        <f>Şablon!E31</f>
        <v>IHL.3028.029/1</v>
      </c>
      <c r="C32" s="139" t="str">
        <f>VLOOKUP($B32,Şablon!$E$3:$Q$255,2,FALSE)</f>
        <v>19.01.00 DIŞ CEPHE MANTOLAMA İŞLERİ</v>
      </c>
      <c r="D32" s="161" t="str">
        <f>IF(VLOOKUP($B32,'Satınalma Takvimi Veri Girişi'!$B$4:$AC$146,3,FALSE)&lt;&gt;"",VLOOKUP($B32,'Satınalma Takvimi Veri Girişi'!$B$4:$AC$146,3,FALSE),"")</f>
        <v/>
      </c>
      <c r="E32" s="139" t="str">
        <f>VLOOKUP($B32,Şablon!$E$3:$Q$255,3,FALSE)</f>
        <v>A KATEGORİ</v>
      </c>
      <c r="F32" s="140" t="str">
        <f>VLOOKUP($B32,Şablon!$E$3:$Q$255,4,FALSE)</f>
        <v>İNŞ</v>
      </c>
      <c r="G32" s="141">
        <f>VLOOKUP($B32,Şablon!$E$3:$Q$255,5,FALSE)</f>
        <v>0</v>
      </c>
      <c r="H32" s="142" t="str">
        <f t="shared" si="0"/>
        <v/>
      </c>
      <c r="I32" s="143" t="str">
        <f t="shared" si="1"/>
        <v/>
      </c>
      <c r="J32" s="144" t="str">
        <f>IF(VLOOKUP($B32,'Satınalma Takvimi Veri Girişi'!$B$4:$AC$146,7,FALSE)&lt;&gt;"",VLOOKUP($B32,'Satınalma Takvimi Veri Girişi'!$B$4:$AC$146,7,FALSE),"")</f>
        <v/>
      </c>
      <c r="K32" s="141">
        <f>VLOOKUP($B32,Şablon!$E$3:$Q$255,6,FALSE)</f>
        <v>14</v>
      </c>
      <c r="L32" s="142" t="str">
        <f t="shared" si="2"/>
        <v/>
      </c>
      <c r="M32" s="143" t="str">
        <f t="shared" si="3"/>
        <v/>
      </c>
      <c r="N32" s="144" t="str">
        <f>IF(VLOOKUP($B32,'Satınalma Takvimi Veri Girişi'!$B$4:$AC$146,9,FALSE)&lt;&gt;"",VLOOKUP($B32,'Satınalma Takvimi Veri Girişi'!$B$4:$AC$146,9,FALSE),"")</f>
        <v/>
      </c>
      <c r="O32" s="141">
        <f>VLOOKUP($B32,Şablon!$E$3:$Q$255,7,FALSE)</f>
        <v>14</v>
      </c>
      <c r="P32" s="142" t="str">
        <f t="shared" si="4"/>
        <v/>
      </c>
      <c r="Q32" s="143" t="str">
        <f t="shared" si="5"/>
        <v/>
      </c>
      <c r="R32" s="144" t="str">
        <f>IF(VLOOKUP($B32,'Satınalma Takvimi Veri Girişi'!$B$4:$AC$146,11,FALSE)&lt;&gt;"",VLOOKUP($B32,'Satınalma Takvimi Veri Girişi'!$B$4:$AC$146,11,FALSE),"")</f>
        <v/>
      </c>
      <c r="S32" s="141">
        <f>VLOOKUP($B32,Şablon!$E$3:$Q$255,8,FALSE)</f>
        <v>28</v>
      </c>
      <c r="T32" s="142" t="str">
        <f t="shared" si="6"/>
        <v/>
      </c>
      <c r="U32" s="143" t="str">
        <f t="shared" si="7"/>
        <v/>
      </c>
      <c r="V32" s="144" t="str">
        <f>IF(VLOOKUP($B32,'Satınalma Takvimi Veri Girişi'!$B$4:$AC$146,13,FALSE)&lt;&gt;"",VLOOKUP($B32,'Satınalma Takvimi Veri Girişi'!$B$4:$AC$146,13,FALSE),"")</f>
        <v/>
      </c>
      <c r="W32" s="141">
        <f>VLOOKUP($B32,Şablon!$E$3:$Q$255,9,FALSE)</f>
        <v>10</v>
      </c>
      <c r="X32" s="142" t="str">
        <f t="shared" si="8"/>
        <v/>
      </c>
      <c r="Y32" s="143" t="str">
        <f t="shared" si="9"/>
        <v/>
      </c>
      <c r="Z32" s="144" t="str">
        <f>IF(VLOOKUP($B32,'Satınalma Takvimi Veri Girişi'!$B$4:$AC$146,15,FALSE)&lt;&gt;"",VLOOKUP($B32,'Satınalma Takvimi Veri Girişi'!$B$4:$AC$146,15,FALSE),"")</f>
        <v/>
      </c>
      <c r="AA32" s="141">
        <f>VLOOKUP($B32,Şablon!$E$3:$Q$255,10,FALSE)</f>
        <v>14</v>
      </c>
      <c r="AB32" s="142" t="str">
        <f t="shared" si="10"/>
        <v/>
      </c>
      <c r="AC32" s="143" t="str">
        <f t="shared" si="11"/>
        <v/>
      </c>
      <c r="AD32" s="144" t="str">
        <f>IF(VLOOKUP($B32,'Satınalma Takvimi Veri Girişi'!$B$4:$AC$146,17,FALSE)&lt;&gt;"",VLOOKUP($B32,'Satınalma Takvimi Veri Girişi'!$B$4:$AC$146,17,FALSE),"")</f>
        <v/>
      </c>
      <c r="AE32" s="141">
        <f>(VLOOKUP($B32,Şablon!$E$3:$Q$255,11,FALSE)+VLOOKUP($B32,Şablon!$E$3:$Q$255,12,FALSE))</f>
        <v>14</v>
      </c>
      <c r="AF32" s="142" t="str">
        <f t="shared" si="12"/>
        <v/>
      </c>
      <c r="AG32" s="143" t="str">
        <f t="shared" si="13"/>
        <v/>
      </c>
      <c r="AH32" s="144" t="str">
        <f>IF(VLOOKUP($B32,'Satınalma Takvimi Veri Girişi'!$B$4:$AC$146,19,FALSE)&lt;&gt;"",VLOOKUP($B32,'Satınalma Takvimi Veri Girişi'!$B$4:$AC$146,19,FALSE),"")</f>
        <v/>
      </c>
      <c r="AI32" s="145" t="str">
        <f>IF(VLOOKUP($B32,'Satınalma Takvimi Veri Girişi'!$B$4:$AC$146,20,FALSE)&lt;&gt;"",VLOOKUP($B32,'Satınalma Takvimi Veri Girişi'!$B$4:$AC$146,20,FALSE),"")</f>
        <v/>
      </c>
      <c r="AJ32" s="144" t="str">
        <f>IF(VLOOKUP($B32,'Satınalma Takvimi Veri Girişi'!$B$4:$AC$146,21,FALSE)&lt;&gt;"",VLOOKUP($B32,'Satınalma Takvimi Veri Girişi'!$B$4:$AC$146,21,FALSE),"")</f>
        <v/>
      </c>
      <c r="AK32" s="146" t="str">
        <f>IF(VLOOKUP($B32,'Satınalma Takvimi Veri Girişi'!$B$4:$AC$146,22,FALSE)&lt;&gt;"",VLOOKUP($B32,'Satınalma Takvimi Veri Girişi'!$B$4:$AC$146,22,FALSE),"")</f>
        <v/>
      </c>
      <c r="AL32" s="147" t="str">
        <f>IF(VLOOKUP($B32,'Satınalma Takvimi Veri Girişi'!$B$4:$AC$146,23,FALSE)&lt;&gt;"",VLOOKUP($B32,'Satınalma Takvimi Veri Girişi'!$B$4:$AC$146,23,FALSE),"")</f>
        <v/>
      </c>
      <c r="AM32" s="147" t="str">
        <f>IF(VLOOKUP($B32,'Satınalma Takvimi Veri Girişi'!$B$4:$AC$146,24,FALSE)&lt;&gt;"",VLOOKUP($B32,'Satınalma Takvimi Veri Girişi'!$B$4:$AC$146,24,FALSE),"")</f>
        <v/>
      </c>
      <c r="AN32" s="147" t="str">
        <f>IF(VLOOKUP($B32,'Satınalma Takvimi Veri Girişi'!$B$4:$AC$146,25,FALSE)&lt;&gt;"",VLOOKUP($B32,'Satınalma Takvimi Veri Girişi'!$B$4:$AC$146,25,FALSE),"")</f>
        <v/>
      </c>
      <c r="AO32" s="147" t="str">
        <f>IF(VLOOKUP($B32,'Satınalma Takvimi Veri Girişi'!$B$4:$AC$146,26,FALSE)&lt;&gt;"",VLOOKUP($B32,'Satınalma Takvimi Veri Girişi'!$B$4:$AC$146,26,FALSE),"")</f>
        <v/>
      </c>
      <c r="AP32" s="147" t="str">
        <f>IF(VLOOKUP($B32,'Satınalma Takvimi Veri Girişi'!$B$4:$AC$146,27,FALSE)&lt;&gt;"",VLOOKUP($B32,'Satınalma Takvimi Veri Girişi'!$B$4:$AC$146,27,FALSE),"")</f>
        <v/>
      </c>
      <c r="AQ32" s="148" t="str">
        <f>IF(VLOOKUP($B32,'Satınalma Takvimi Veri Girişi'!$B$4:$AC$146,28,FALSE)&lt;&gt;"",VLOOKUP($B32,'Satınalma Takvimi Veri Girişi'!$B$4:$AC$146,28,FALSE),"")</f>
        <v/>
      </c>
    </row>
    <row r="33" spans="2:43" ht="19.95" customHeight="1" x14ac:dyDescent="0.3">
      <c r="B33" s="64" t="str">
        <f>Şablon!E32</f>
        <v>IHL.3028.030/1</v>
      </c>
      <c r="C33" s="139" t="str">
        <f>VLOOKUP($B33,Şablon!$E$3:$Q$255,2,FALSE)</f>
        <v>15.12.00 KİREMİT ÇATI İŞLERİ</v>
      </c>
      <c r="D33" s="161" t="str">
        <f>IF(VLOOKUP($B33,'Satınalma Takvimi Veri Girişi'!$B$4:$AC$146,3,FALSE)&lt;&gt;"",VLOOKUP($B33,'Satınalma Takvimi Veri Girişi'!$B$4:$AC$146,3,FALSE),"")</f>
        <v/>
      </c>
      <c r="E33" s="139" t="str">
        <f>VLOOKUP($B33,Şablon!$E$3:$Q$255,3,FALSE)</f>
        <v>A KATEGORİ</v>
      </c>
      <c r="F33" s="140" t="str">
        <f>VLOOKUP($B33,Şablon!$E$3:$Q$255,4,FALSE)</f>
        <v>İNŞ</v>
      </c>
      <c r="G33" s="141">
        <f>VLOOKUP($B33,Şablon!$E$3:$Q$255,5,FALSE)</f>
        <v>0</v>
      </c>
      <c r="H33" s="142" t="str">
        <f t="shared" si="0"/>
        <v/>
      </c>
      <c r="I33" s="143" t="str">
        <f t="shared" si="1"/>
        <v/>
      </c>
      <c r="J33" s="144" t="str">
        <f>IF(VLOOKUP($B33,'Satınalma Takvimi Veri Girişi'!$B$4:$AC$146,7,FALSE)&lt;&gt;"",VLOOKUP($B33,'Satınalma Takvimi Veri Girişi'!$B$4:$AC$146,7,FALSE),"")</f>
        <v/>
      </c>
      <c r="K33" s="141">
        <f>VLOOKUP($B33,Şablon!$E$3:$Q$255,6,FALSE)</f>
        <v>14</v>
      </c>
      <c r="L33" s="142" t="str">
        <f t="shared" si="2"/>
        <v/>
      </c>
      <c r="M33" s="143" t="str">
        <f t="shared" si="3"/>
        <v/>
      </c>
      <c r="N33" s="144" t="str">
        <f>IF(VLOOKUP($B33,'Satınalma Takvimi Veri Girişi'!$B$4:$AC$146,9,FALSE)&lt;&gt;"",VLOOKUP($B33,'Satınalma Takvimi Veri Girişi'!$B$4:$AC$146,9,FALSE),"")</f>
        <v/>
      </c>
      <c r="O33" s="141">
        <f>VLOOKUP($B33,Şablon!$E$3:$Q$255,7,FALSE)</f>
        <v>14</v>
      </c>
      <c r="P33" s="142" t="str">
        <f t="shared" si="4"/>
        <v/>
      </c>
      <c r="Q33" s="143" t="str">
        <f t="shared" si="5"/>
        <v/>
      </c>
      <c r="R33" s="144" t="str">
        <f>IF(VLOOKUP($B33,'Satınalma Takvimi Veri Girişi'!$B$4:$AC$146,11,FALSE)&lt;&gt;"",VLOOKUP($B33,'Satınalma Takvimi Veri Girişi'!$B$4:$AC$146,11,FALSE),"")</f>
        <v/>
      </c>
      <c r="S33" s="141">
        <f>VLOOKUP($B33,Şablon!$E$3:$Q$255,8,FALSE)</f>
        <v>28</v>
      </c>
      <c r="T33" s="142" t="str">
        <f t="shared" si="6"/>
        <v/>
      </c>
      <c r="U33" s="143" t="str">
        <f t="shared" si="7"/>
        <v/>
      </c>
      <c r="V33" s="144" t="str">
        <f>IF(VLOOKUP($B33,'Satınalma Takvimi Veri Girişi'!$B$4:$AC$146,13,FALSE)&lt;&gt;"",VLOOKUP($B33,'Satınalma Takvimi Veri Girişi'!$B$4:$AC$146,13,FALSE),"")</f>
        <v/>
      </c>
      <c r="W33" s="141">
        <f>VLOOKUP($B33,Şablon!$E$3:$Q$255,9,FALSE)</f>
        <v>10</v>
      </c>
      <c r="X33" s="142" t="str">
        <f t="shared" si="8"/>
        <v/>
      </c>
      <c r="Y33" s="143" t="str">
        <f t="shared" si="9"/>
        <v/>
      </c>
      <c r="Z33" s="144" t="str">
        <f>IF(VLOOKUP($B33,'Satınalma Takvimi Veri Girişi'!$B$4:$AC$146,15,FALSE)&lt;&gt;"",VLOOKUP($B33,'Satınalma Takvimi Veri Girişi'!$B$4:$AC$146,15,FALSE),"")</f>
        <v/>
      </c>
      <c r="AA33" s="141">
        <f>VLOOKUP($B33,Şablon!$E$3:$Q$255,10,FALSE)</f>
        <v>14</v>
      </c>
      <c r="AB33" s="142" t="str">
        <f t="shared" si="10"/>
        <v/>
      </c>
      <c r="AC33" s="143" t="str">
        <f t="shared" si="11"/>
        <v/>
      </c>
      <c r="AD33" s="144" t="str">
        <f>IF(VLOOKUP($B33,'Satınalma Takvimi Veri Girişi'!$B$4:$AC$146,17,FALSE)&lt;&gt;"",VLOOKUP($B33,'Satınalma Takvimi Veri Girişi'!$B$4:$AC$146,17,FALSE),"")</f>
        <v/>
      </c>
      <c r="AE33" s="141">
        <f>(VLOOKUP($B33,Şablon!$E$3:$Q$255,11,FALSE)+VLOOKUP($B33,Şablon!$E$3:$Q$255,12,FALSE))</f>
        <v>21</v>
      </c>
      <c r="AF33" s="142" t="str">
        <f t="shared" si="12"/>
        <v/>
      </c>
      <c r="AG33" s="143" t="str">
        <f t="shared" si="13"/>
        <v/>
      </c>
      <c r="AH33" s="144" t="str">
        <f>IF(VLOOKUP($B33,'Satınalma Takvimi Veri Girişi'!$B$4:$AC$146,19,FALSE)&lt;&gt;"",VLOOKUP($B33,'Satınalma Takvimi Veri Girişi'!$B$4:$AC$146,19,FALSE),"")</f>
        <v/>
      </c>
      <c r="AI33" s="145" t="str">
        <f>IF(VLOOKUP($B33,'Satınalma Takvimi Veri Girişi'!$B$4:$AC$146,20,FALSE)&lt;&gt;"",VLOOKUP($B33,'Satınalma Takvimi Veri Girişi'!$B$4:$AC$146,20,FALSE),"")</f>
        <v/>
      </c>
      <c r="AJ33" s="144" t="str">
        <f>IF(VLOOKUP($B33,'Satınalma Takvimi Veri Girişi'!$B$4:$AC$146,21,FALSE)&lt;&gt;"",VLOOKUP($B33,'Satınalma Takvimi Veri Girişi'!$B$4:$AC$146,21,FALSE),"")</f>
        <v/>
      </c>
      <c r="AK33" s="146" t="str">
        <f>IF(VLOOKUP($B33,'Satınalma Takvimi Veri Girişi'!$B$4:$AC$146,22,FALSE)&lt;&gt;"",VLOOKUP($B33,'Satınalma Takvimi Veri Girişi'!$B$4:$AC$146,22,FALSE),"")</f>
        <v/>
      </c>
      <c r="AL33" s="147" t="str">
        <f>IF(VLOOKUP($B33,'Satınalma Takvimi Veri Girişi'!$B$4:$AC$146,23,FALSE)&lt;&gt;"",VLOOKUP($B33,'Satınalma Takvimi Veri Girişi'!$B$4:$AC$146,23,FALSE),"")</f>
        <v/>
      </c>
      <c r="AM33" s="147" t="str">
        <f>IF(VLOOKUP($B33,'Satınalma Takvimi Veri Girişi'!$B$4:$AC$146,24,FALSE)&lt;&gt;"",VLOOKUP($B33,'Satınalma Takvimi Veri Girişi'!$B$4:$AC$146,24,FALSE),"")</f>
        <v/>
      </c>
      <c r="AN33" s="147" t="str">
        <f>IF(VLOOKUP($B33,'Satınalma Takvimi Veri Girişi'!$B$4:$AC$146,25,FALSE)&lt;&gt;"",VLOOKUP($B33,'Satınalma Takvimi Veri Girişi'!$B$4:$AC$146,25,FALSE),"")</f>
        <v/>
      </c>
      <c r="AO33" s="147" t="str">
        <f>IF(VLOOKUP($B33,'Satınalma Takvimi Veri Girişi'!$B$4:$AC$146,26,FALSE)&lt;&gt;"",VLOOKUP($B33,'Satınalma Takvimi Veri Girişi'!$B$4:$AC$146,26,FALSE),"")</f>
        <v/>
      </c>
      <c r="AP33" s="147" t="str">
        <f>IF(VLOOKUP($B33,'Satınalma Takvimi Veri Girişi'!$B$4:$AC$146,27,FALSE)&lt;&gt;"",VLOOKUP($B33,'Satınalma Takvimi Veri Girişi'!$B$4:$AC$146,27,FALSE),"")</f>
        <v/>
      </c>
      <c r="AQ33" s="148" t="str">
        <f>IF(VLOOKUP($B33,'Satınalma Takvimi Veri Girişi'!$B$4:$AC$146,28,FALSE)&lt;&gt;"",VLOOKUP($B33,'Satınalma Takvimi Veri Girişi'!$B$4:$AC$146,28,FALSE),"")</f>
        <v/>
      </c>
    </row>
    <row r="34" spans="2:43" ht="19.95" customHeight="1" x14ac:dyDescent="0.3">
      <c r="B34" s="64" t="str">
        <f>Şablon!E33</f>
        <v>IHL.3028.031/1</v>
      </c>
      <c r="C34" s="139" t="str">
        <f>VLOOKUP($B34,Şablon!$E$3:$Q$255,2,FALSE)</f>
        <v>15.12.01 KENET ÇATI İŞLERİ</v>
      </c>
      <c r="D34" s="161" t="str">
        <f>IF(VLOOKUP($B34,'Satınalma Takvimi Veri Girişi'!$B$4:$AC$146,3,FALSE)&lt;&gt;"",VLOOKUP($B34,'Satınalma Takvimi Veri Girişi'!$B$4:$AC$146,3,FALSE),"")</f>
        <v/>
      </c>
      <c r="E34" s="139" t="str">
        <f>VLOOKUP($B34,Şablon!$E$3:$Q$255,3,FALSE)</f>
        <v>A KATEGORİ</v>
      </c>
      <c r="F34" s="140" t="str">
        <f>VLOOKUP($B34,Şablon!$E$3:$Q$255,4,FALSE)</f>
        <v>İNŞ</v>
      </c>
      <c r="G34" s="141">
        <f>VLOOKUP($B34,Şablon!$E$3:$Q$255,5,FALSE)</f>
        <v>0</v>
      </c>
      <c r="H34" s="142" t="str">
        <f t="shared" si="0"/>
        <v/>
      </c>
      <c r="I34" s="143" t="str">
        <f t="shared" si="1"/>
        <v/>
      </c>
      <c r="J34" s="144" t="str">
        <f>IF(VLOOKUP($B34,'Satınalma Takvimi Veri Girişi'!$B$4:$AC$146,7,FALSE)&lt;&gt;"",VLOOKUP($B34,'Satınalma Takvimi Veri Girişi'!$B$4:$AC$146,7,FALSE),"")</f>
        <v/>
      </c>
      <c r="K34" s="141">
        <f>VLOOKUP($B34,Şablon!$E$3:$Q$255,6,FALSE)</f>
        <v>14</v>
      </c>
      <c r="L34" s="142" t="str">
        <f t="shared" si="2"/>
        <v/>
      </c>
      <c r="M34" s="143" t="str">
        <f t="shared" si="3"/>
        <v/>
      </c>
      <c r="N34" s="144" t="str">
        <f>IF(VLOOKUP($B34,'Satınalma Takvimi Veri Girişi'!$B$4:$AC$146,9,FALSE)&lt;&gt;"",VLOOKUP($B34,'Satınalma Takvimi Veri Girişi'!$B$4:$AC$146,9,FALSE),"")</f>
        <v/>
      </c>
      <c r="O34" s="141">
        <f>VLOOKUP($B34,Şablon!$E$3:$Q$255,7,FALSE)</f>
        <v>14</v>
      </c>
      <c r="P34" s="142" t="str">
        <f t="shared" si="4"/>
        <v/>
      </c>
      <c r="Q34" s="143" t="str">
        <f t="shared" si="5"/>
        <v/>
      </c>
      <c r="R34" s="144" t="str">
        <f>IF(VLOOKUP($B34,'Satınalma Takvimi Veri Girişi'!$B$4:$AC$146,11,FALSE)&lt;&gt;"",VLOOKUP($B34,'Satınalma Takvimi Veri Girişi'!$B$4:$AC$146,11,FALSE),"")</f>
        <v/>
      </c>
      <c r="S34" s="141">
        <f>VLOOKUP($B34,Şablon!$E$3:$Q$255,8,FALSE)</f>
        <v>28</v>
      </c>
      <c r="T34" s="142" t="str">
        <f t="shared" si="6"/>
        <v/>
      </c>
      <c r="U34" s="143" t="str">
        <f t="shared" si="7"/>
        <v/>
      </c>
      <c r="V34" s="144" t="str">
        <f>IF(VLOOKUP($B34,'Satınalma Takvimi Veri Girişi'!$B$4:$AC$146,13,FALSE)&lt;&gt;"",VLOOKUP($B34,'Satınalma Takvimi Veri Girişi'!$B$4:$AC$146,13,FALSE),"")</f>
        <v/>
      </c>
      <c r="W34" s="141">
        <f>VLOOKUP($B34,Şablon!$E$3:$Q$255,9,FALSE)</f>
        <v>10</v>
      </c>
      <c r="X34" s="142" t="str">
        <f t="shared" si="8"/>
        <v/>
      </c>
      <c r="Y34" s="143" t="str">
        <f t="shared" si="9"/>
        <v/>
      </c>
      <c r="Z34" s="144" t="str">
        <f>IF(VLOOKUP($B34,'Satınalma Takvimi Veri Girişi'!$B$4:$AC$146,15,FALSE)&lt;&gt;"",VLOOKUP($B34,'Satınalma Takvimi Veri Girişi'!$B$4:$AC$146,15,FALSE),"")</f>
        <v/>
      </c>
      <c r="AA34" s="141">
        <f>VLOOKUP($B34,Şablon!$E$3:$Q$255,10,FALSE)</f>
        <v>14</v>
      </c>
      <c r="AB34" s="142" t="str">
        <f t="shared" si="10"/>
        <v/>
      </c>
      <c r="AC34" s="143" t="str">
        <f t="shared" si="11"/>
        <v/>
      </c>
      <c r="AD34" s="144" t="str">
        <f>IF(VLOOKUP($B34,'Satınalma Takvimi Veri Girişi'!$B$4:$AC$146,17,FALSE)&lt;&gt;"",VLOOKUP($B34,'Satınalma Takvimi Veri Girişi'!$B$4:$AC$146,17,FALSE),"")</f>
        <v/>
      </c>
      <c r="AE34" s="141">
        <f>(VLOOKUP($B34,Şablon!$E$3:$Q$255,11,FALSE)+VLOOKUP($B34,Şablon!$E$3:$Q$255,12,FALSE))</f>
        <v>21</v>
      </c>
      <c r="AF34" s="142" t="str">
        <f t="shared" si="12"/>
        <v/>
      </c>
      <c r="AG34" s="143" t="str">
        <f t="shared" si="13"/>
        <v/>
      </c>
      <c r="AH34" s="144" t="str">
        <f>IF(VLOOKUP($B34,'Satınalma Takvimi Veri Girişi'!$B$4:$AC$146,19,FALSE)&lt;&gt;"",VLOOKUP($B34,'Satınalma Takvimi Veri Girişi'!$B$4:$AC$146,19,FALSE),"")</f>
        <v/>
      </c>
      <c r="AI34" s="145" t="str">
        <f>IF(VLOOKUP($B34,'Satınalma Takvimi Veri Girişi'!$B$4:$AC$146,20,FALSE)&lt;&gt;"",VLOOKUP($B34,'Satınalma Takvimi Veri Girişi'!$B$4:$AC$146,20,FALSE),"")</f>
        <v/>
      </c>
      <c r="AJ34" s="144" t="str">
        <f>IF(VLOOKUP($B34,'Satınalma Takvimi Veri Girişi'!$B$4:$AC$146,21,FALSE)&lt;&gt;"",VLOOKUP($B34,'Satınalma Takvimi Veri Girişi'!$B$4:$AC$146,21,FALSE),"")</f>
        <v/>
      </c>
      <c r="AK34" s="146" t="str">
        <f>IF(VLOOKUP($B34,'Satınalma Takvimi Veri Girişi'!$B$4:$AC$146,22,FALSE)&lt;&gt;"",VLOOKUP($B34,'Satınalma Takvimi Veri Girişi'!$B$4:$AC$146,22,FALSE),"")</f>
        <v/>
      </c>
      <c r="AL34" s="147" t="str">
        <f>IF(VLOOKUP($B34,'Satınalma Takvimi Veri Girişi'!$B$4:$AC$146,23,FALSE)&lt;&gt;"",VLOOKUP($B34,'Satınalma Takvimi Veri Girişi'!$B$4:$AC$146,23,FALSE),"")</f>
        <v/>
      </c>
      <c r="AM34" s="147" t="str">
        <f>IF(VLOOKUP($B34,'Satınalma Takvimi Veri Girişi'!$B$4:$AC$146,24,FALSE)&lt;&gt;"",VLOOKUP($B34,'Satınalma Takvimi Veri Girişi'!$B$4:$AC$146,24,FALSE),"")</f>
        <v/>
      </c>
      <c r="AN34" s="147" t="str">
        <f>IF(VLOOKUP($B34,'Satınalma Takvimi Veri Girişi'!$B$4:$AC$146,25,FALSE)&lt;&gt;"",VLOOKUP($B34,'Satınalma Takvimi Veri Girişi'!$B$4:$AC$146,25,FALSE),"")</f>
        <v/>
      </c>
      <c r="AO34" s="147" t="str">
        <f>IF(VLOOKUP($B34,'Satınalma Takvimi Veri Girişi'!$B$4:$AC$146,26,FALSE)&lt;&gt;"",VLOOKUP($B34,'Satınalma Takvimi Veri Girişi'!$B$4:$AC$146,26,FALSE),"")</f>
        <v/>
      </c>
      <c r="AP34" s="147" t="str">
        <f>IF(VLOOKUP($B34,'Satınalma Takvimi Veri Girişi'!$B$4:$AC$146,27,FALSE)&lt;&gt;"",VLOOKUP($B34,'Satınalma Takvimi Veri Girişi'!$B$4:$AC$146,27,FALSE),"")</f>
        <v/>
      </c>
      <c r="AQ34" s="148" t="str">
        <f>IF(VLOOKUP($B34,'Satınalma Takvimi Veri Girişi'!$B$4:$AC$146,28,FALSE)&lt;&gt;"",VLOOKUP($B34,'Satınalma Takvimi Veri Girişi'!$B$4:$AC$146,28,FALSE),"")</f>
        <v/>
      </c>
    </row>
    <row r="35" spans="2:43" ht="19.95" customHeight="1" x14ac:dyDescent="0.3">
      <c r="B35" s="64" t="str">
        <f>Şablon!E34</f>
        <v>IHL.3028.032/1</v>
      </c>
      <c r="C35" s="139" t="str">
        <f>VLOOKUP($B35,Şablon!$E$3:$Q$255,2,FALSE)</f>
        <v>19.03.04 CAM SAÇAK KAPLAMA İŞLERİ</v>
      </c>
      <c r="D35" s="161" t="str">
        <f>IF(VLOOKUP($B35,'Satınalma Takvimi Veri Girişi'!$B$4:$AC$146,3,FALSE)&lt;&gt;"",VLOOKUP($B35,'Satınalma Takvimi Veri Girişi'!$B$4:$AC$146,3,FALSE),"")</f>
        <v/>
      </c>
      <c r="E35" s="139" t="str">
        <f>VLOOKUP($B35,Şablon!$E$3:$Q$255,3,FALSE)</f>
        <v>B KATEGORİ</v>
      </c>
      <c r="F35" s="140" t="str">
        <f>VLOOKUP($B35,Şablon!$E$3:$Q$255,4,FALSE)</f>
        <v>İNŞ</v>
      </c>
      <c r="G35" s="141">
        <f>VLOOKUP($B35,Şablon!$E$3:$Q$255,5,FALSE)</f>
        <v>0</v>
      </c>
      <c r="H35" s="142" t="str">
        <f t="shared" si="0"/>
        <v/>
      </c>
      <c r="I35" s="143" t="str">
        <f t="shared" si="1"/>
        <v/>
      </c>
      <c r="J35" s="144" t="str">
        <f>IF(VLOOKUP($B35,'Satınalma Takvimi Veri Girişi'!$B$4:$AC$146,7,FALSE)&lt;&gt;"",VLOOKUP($B35,'Satınalma Takvimi Veri Girişi'!$B$4:$AC$146,7,FALSE),"")</f>
        <v/>
      </c>
      <c r="K35" s="141">
        <f>VLOOKUP($B35,Şablon!$E$3:$Q$255,6,FALSE)</f>
        <v>14</v>
      </c>
      <c r="L35" s="142" t="str">
        <f t="shared" si="2"/>
        <v/>
      </c>
      <c r="M35" s="143" t="str">
        <f t="shared" si="3"/>
        <v/>
      </c>
      <c r="N35" s="144" t="str">
        <f>IF(VLOOKUP($B35,'Satınalma Takvimi Veri Girişi'!$B$4:$AC$146,9,FALSE)&lt;&gt;"",VLOOKUP($B35,'Satınalma Takvimi Veri Girişi'!$B$4:$AC$146,9,FALSE),"")</f>
        <v/>
      </c>
      <c r="O35" s="141">
        <f>VLOOKUP($B35,Şablon!$E$3:$Q$255,7,FALSE)</f>
        <v>14</v>
      </c>
      <c r="P35" s="142" t="str">
        <f t="shared" si="4"/>
        <v/>
      </c>
      <c r="Q35" s="143" t="str">
        <f t="shared" si="5"/>
        <v/>
      </c>
      <c r="R35" s="144" t="str">
        <f>IF(VLOOKUP($B35,'Satınalma Takvimi Veri Girişi'!$B$4:$AC$146,11,FALSE)&lt;&gt;"",VLOOKUP($B35,'Satınalma Takvimi Veri Girişi'!$B$4:$AC$146,11,FALSE),"")</f>
        <v/>
      </c>
      <c r="S35" s="141">
        <f>VLOOKUP($B35,Şablon!$E$3:$Q$255,8,FALSE)</f>
        <v>28</v>
      </c>
      <c r="T35" s="142" t="str">
        <f t="shared" si="6"/>
        <v/>
      </c>
      <c r="U35" s="143" t="str">
        <f t="shared" si="7"/>
        <v/>
      </c>
      <c r="V35" s="144" t="str">
        <f>IF(VLOOKUP($B35,'Satınalma Takvimi Veri Girişi'!$B$4:$AC$146,13,FALSE)&lt;&gt;"",VLOOKUP($B35,'Satınalma Takvimi Veri Girişi'!$B$4:$AC$146,13,FALSE),"")</f>
        <v/>
      </c>
      <c r="W35" s="141">
        <f>VLOOKUP($B35,Şablon!$E$3:$Q$255,9,FALSE)</f>
        <v>7</v>
      </c>
      <c r="X35" s="142" t="str">
        <f t="shared" si="8"/>
        <v/>
      </c>
      <c r="Y35" s="143" t="str">
        <f t="shared" si="9"/>
        <v/>
      </c>
      <c r="Z35" s="144" t="str">
        <f>IF(VLOOKUP($B35,'Satınalma Takvimi Veri Girişi'!$B$4:$AC$146,15,FALSE)&lt;&gt;"",VLOOKUP($B35,'Satınalma Takvimi Veri Girişi'!$B$4:$AC$146,15,FALSE),"")</f>
        <v/>
      </c>
      <c r="AA35" s="141">
        <f>VLOOKUP($B35,Şablon!$E$3:$Q$255,10,FALSE)</f>
        <v>21</v>
      </c>
      <c r="AB35" s="142" t="str">
        <f t="shared" si="10"/>
        <v/>
      </c>
      <c r="AC35" s="143" t="str">
        <f t="shared" si="11"/>
        <v/>
      </c>
      <c r="AD35" s="144" t="str">
        <f>IF(VLOOKUP($B35,'Satınalma Takvimi Veri Girişi'!$B$4:$AC$146,17,FALSE)&lt;&gt;"",VLOOKUP($B35,'Satınalma Takvimi Veri Girişi'!$B$4:$AC$146,17,FALSE),"")</f>
        <v/>
      </c>
      <c r="AE35" s="141">
        <f>(VLOOKUP($B35,Şablon!$E$3:$Q$255,11,FALSE)+VLOOKUP($B35,Şablon!$E$3:$Q$255,12,FALSE))</f>
        <v>67</v>
      </c>
      <c r="AF35" s="142" t="str">
        <f t="shared" si="12"/>
        <v/>
      </c>
      <c r="AG35" s="143" t="str">
        <f t="shared" si="13"/>
        <v/>
      </c>
      <c r="AH35" s="144" t="str">
        <f>IF(VLOOKUP($B35,'Satınalma Takvimi Veri Girişi'!$B$4:$AC$146,19,FALSE)&lt;&gt;"",VLOOKUP($B35,'Satınalma Takvimi Veri Girişi'!$B$4:$AC$146,19,FALSE),"")</f>
        <v/>
      </c>
      <c r="AI35" s="145" t="str">
        <f>IF(VLOOKUP($B35,'Satınalma Takvimi Veri Girişi'!$B$4:$AC$146,20,FALSE)&lt;&gt;"",VLOOKUP($B35,'Satınalma Takvimi Veri Girişi'!$B$4:$AC$146,20,FALSE),"")</f>
        <v/>
      </c>
      <c r="AJ35" s="144" t="str">
        <f>IF(VLOOKUP($B35,'Satınalma Takvimi Veri Girişi'!$B$4:$AC$146,21,FALSE)&lt;&gt;"",VLOOKUP($B35,'Satınalma Takvimi Veri Girişi'!$B$4:$AC$146,21,FALSE),"")</f>
        <v/>
      </c>
      <c r="AK35" s="146" t="str">
        <f>IF(VLOOKUP($B35,'Satınalma Takvimi Veri Girişi'!$B$4:$AC$146,22,FALSE)&lt;&gt;"",VLOOKUP($B35,'Satınalma Takvimi Veri Girişi'!$B$4:$AC$146,22,FALSE),"")</f>
        <v/>
      </c>
      <c r="AL35" s="147" t="str">
        <f>IF(VLOOKUP($B35,'Satınalma Takvimi Veri Girişi'!$B$4:$AC$146,23,FALSE)&lt;&gt;"",VLOOKUP($B35,'Satınalma Takvimi Veri Girişi'!$B$4:$AC$146,23,FALSE),"")</f>
        <v/>
      </c>
      <c r="AM35" s="147" t="str">
        <f>IF(VLOOKUP($B35,'Satınalma Takvimi Veri Girişi'!$B$4:$AC$146,24,FALSE)&lt;&gt;"",VLOOKUP($B35,'Satınalma Takvimi Veri Girişi'!$B$4:$AC$146,24,FALSE),"")</f>
        <v/>
      </c>
      <c r="AN35" s="147" t="str">
        <f>IF(VLOOKUP($B35,'Satınalma Takvimi Veri Girişi'!$B$4:$AC$146,25,FALSE)&lt;&gt;"",VLOOKUP($B35,'Satınalma Takvimi Veri Girişi'!$B$4:$AC$146,25,FALSE),"")</f>
        <v/>
      </c>
      <c r="AO35" s="147" t="str">
        <f>IF(VLOOKUP($B35,'Satınalma Takvimi Veri Girişi'!$B$4:$AC$146,26,FALSE)&lt;&gt;"",VLOOKUP($B35,'Satınalma Takvimi Veri Girişi'!$B$4:$AC$146,26,FALSE),"")</f>
        <v/>
      </c>
      <c r="AP35" s="147" t="str">
        <f>IF(VLOOKUP($B35,'Satınalma Takvimi Veri Girişi'!$B$4:$AC$146,27,FALSE)&lt;&gt;"",VLOOKUP($B35,'Satınalma Takvimi Veri Girişi'!$B$4:$AC$146,27,FALSE),"")</f>
        <v/>
      </c>
      <c r="AQ35" s="148" t="str">
        <f>IF(VLOOKUP($B35,'Satınalma Takvimi Veri Girişi'!$B$4:$AC$146,28,FALSE)&lt;&gt;"",VLOOKUP($B35,'Satınalma Takvimi Veri Girişi'!$B$4:$AC$146,28,FALSE),"")</f>
        <v/>
      </c>
    </row>
    <row r="36" spans="2:43" ht="19.95" customHeight="1" x14ac:dyDescent="0.3">
      <c r="B36" s="64" t="str">
        <f>Şablon!E35</f>
        <v>IHL.3028.033/1</v>
      </c>
      <c r="C36" s="139" t="str">
        <f>VLOOKUP($B36,Şablon!$E$3:$Q$255,2,FALSE)</f>
        <v>19.03.05 ALÜMİNYUM SAÇAK KAPLAMA İŞLERİ</v>
      </c>
      <c r="D36" s="161" t="str">
        <f>IF(VLOOKUP($B36,'Satınalma Takvimi Veri Girişi'!$B$4:$AC$146,3,FALSE)&lt;&gt;"",VLOOKUP($B36,'Satınalma Takvimi Veri Girişi'!$B$4:$AC$146,3,FALSE),"")</f>
        <v/>
      </c>
      <c r="E36" s="139" t="str">
        <f>VLOOKUP($B36,Şablon!$E$3:$Q$255,3,FALSE)</f>
        <v>B KATEGORİ</v>
      </c>
      <c r="F36" s="140" t="str">
        <f>VLOOKUP($B36,Şablon!$E$3:$Q$255,4,FALSE)</f>
        <v>İNŞ</v>
      </c>
      <c r="G36" s="141">
        <f>VLOOKUP($B36,Şablon!$E$3:$Q$255,5,FALSE)</f>
        <v>0</v>
      </c>
      <c r="H36" s="142" t="str">
        <f t="shared" si="0"/>
        <v/>
      </c>
      <c r="I36" s="143" t="str">
        <f t="shared" si="1"/>
        <v/>
      </c>
      <c r="J36" s="144" t="str">
        <f>IF(VLOOKUP($B36,'Satınalma Takvimi Veri Girişi'!$B$4:$AC$146,7,FALSE)&lt;&gt;"",VLOOKUP($B36,'Satınalma Takvimi Veri Girişi'!$B$4:$AC$146,7,FALSE),"")</f>
        <v/>
      </c>
      <c r="K36" s="141">
        <f>VLOOKUP($B36,Şablon!$E$3:$Q$255,6,FALSE)</f>
        <v>14</v>
      </c>
      <c r="L36" s="142" t="str">
        <f t="shared" si="2"/>
        <v/>
      </c>
      <c r="M36" s="143" t="str">
        <f t="shared" si="3"/>
        <v/>
      </c>
      <c r="N36" s="144" t="str">
        <f>IF(VLOOKUP($B36,'Satınalma Takvimi Veri Girişi'!$B$4:$AC$146,9,FALSE)&lt;&gt;"",VLOOKUP($B36,'Satınalma Takvimi Veri Girişi'!$B$4:$AC$146,9,FALSE),"")</f>
        <v/>
      </c>
      <c r="O36" s="141">
        <f>VLOOKUP($B36,Şablon!$E$3:$Q$255,7,FALSE)</f>
        <v>14</v>
      </c>
      <c r="P36" s="142" t="str">
        <f t="shared" si="4"/>
        <v/>
      </c>
      <c r="Q36" s="143" t="str">
        <f t="shared" si="5"/>
        <v/>
      </c>
      <c r="R36" s="144" t="str">
        <f>IF(VLOOKUP($B36,'Satınalma Takvimi Veri Girişi'!$B$4:$AC$146,11,FALSE)&lt;&gt;"",VLOOKUP($B36,'Satınalma Takvimi Veri Girişi'!$B$4:$AC$146,11,FALSE),"")</f>
        <v/>
      </c>
      <c r="S36" s="141">
        <f>VLOOKUP($B36,Şablon!$E$3:$Q$255,8,FALSE)</f>
        <v>28</v>
      </c>
      <c r="T36" s="142" t="str">
        <f t="shared" si="6"/>
        <v/>
      </c>
      <c r="U36" s="143" t="str">
        <f t="shared" si="7"/>
        <v/>
      </c>
      <c r="V36" s="144" t="str">
        <f>IF(VLOOKUP($B36,'Satınalma Takvimi Veri Girişi'!$B$4:$AC$146,13,FALSE)&lt;&gt;"",VLOOKUP($B36,'Satınalma Takvimi Veri Girişi'!$B$4:$AC$146,13,FALSE),"")</f>
        <v/>
      </c>
      <c r="W36" s="141">
        <f>VLOOKUP($B36,Şablon!$E$3:$Q$255,9,FALSE)</f>
        <v>7</v>
      </c>
      <c r="X36" s="142" t="str">
        <f t="shared" si="8"/>
        <v/>
      </c>
      <c r="Y36" s="143" t="str">
        <f t="shared" si="9"/>
        <v/>
      </c>
      <c r="Z36" s="144" t="str">
        <f>IF(VLOOKUP($B36,'Satınalma Takvimi Veri Girişi'!$B$4:$AC$146,15,FALSE)&lt;&gt;"",VLOOKUP($B36,'Satınalma Takvimi Veri Girişi'!$B$4:$AC$146,15,FALSE),"")</f>
        <v/>
      </c>
      <c r="AA36" s="141">
        <f>VLOOKUP($B36,Şablon!$E$3:$Q$255,10,FALSE)</f>
        <v>21</v>
      </c>
      <c r="AB36" s="142" t="str">
        <f t="shared" si="10"/>
        <v/>
      </c>
      <c r="AC36" s="143" t="str">
        <f t="shared" si="11"/>
        <v/>
      </c>
      <c r="AD36" s="144" t="str">
        <f>IF(VLOOKUP($B36,'Satınalma Takvimi Veri Girişi'!$B$4:$AC$146,17,FALSE)&lt;&gt;"",VLOOKUP($B36,'Satınalma Takvimi Veri Girişi'!$B$4:$AC$146,17,FALSE),"")</f>
        <v/>
      </c>
      <c r="AE36" s="141">
        <f>(VLOOKUP($B36,Şablon!$E$3:$Q$255,11,FALSE)+VLOOKUP($B36,Şablon!$E$3:$Q$255,12,FALSE))</f>
        <v>67</v>
      </c>
      <c r="AF36" s="142" t="str">
        <f t="shared" si="12"/>
        <v/>
      </c>
      <c r="AG36" s="143" t="str">
        <f t="shared" si="13"/>
        <v/>
      </c>
      <c r="AH36" s="144" t="str">
        <f>IF(VLOOKUP($B36,'Satınalma Takvimi Veri Girişi'!$B$4:$AC$146,19,FALSE)&lt;&gt;"",VLOOKUP($B36,'Satınalma Takvimi Veri Girişi'!$B$4:$AC$146,19,FALSE),"")</f>
        <v/>
      </c>
      <c r="AI36" s="145" t="str">
        <f>IF(VLOOKUP($B36,'Satınalma Takvimi Veri Girişi'!$B$4:$AC$146,20,FALSE)&lt;&gt;"",VLOOKUP($B36,'Satınalma Takvimi Veri Girişi'!$B$4:$AC$146,20,FALSE),"")</f>
        <v/>
      </c>
      <c r="AJ36" s="144" t="str">
        <f>IF(VLOOKUP($B36,'Satınalma Takvimi Veri Girişi'!$B$4:$AC$146,21,FALSE)&lt;&gt;"",VLOOKUP($B36,'Satınalma Takvimi Veri Girişi'!$B$4:$AC$146,21,FALSE),"")</f>
        <v/>
      </c>
      <c r="AK36" s="146" t="str">
        <f>IF(VLOOKUP($B36,'Satınalma Takvimi Veri Girişi'!$B$4:$AC$146,22,FALSE)&lt;&gt;"",VLOOKUP($B36,'Satınalma Takvimi Veri Girişi'!$B$4:$AC$146,22,FALSE),"")</f>
        <v/>
      </c>
      <c r="AL36" s="147" t="str">
        <f>IF(VLOOKUP($B36,'Satınalma Takvimi Veri Girişi'!$B$4:$AC$146,23,FALSE)&lt;&gt;"",VLOOKUP($B36,'Satınalma Takvimi Veri Girişi'!$B$4:$AC$146,23,FALSE),"")</f>
        <v/>
      </c>
      <c r="AM36" s="147" t="str">
        <f>IF(VLOOKUP($B36,'Satınalma Takvimi Veri Girişi'!$B$4:$AC$146,24,FALSE)&lt;&gt;"",VLOOKUP($B36,'Satınalma Takvimi Veri Girişi'!$B$4:$AC$146,24,FALSE),"")</f>
        <v/>
      </c>
      <c r="AN36" s="147" t="str">
        <f>IF(VLOOKUP($B36,'Satınalma Takvimi Veri Girişi'!$B$4:$AC$146,25,FALSE)&lt;&gt;"",VLOOKUP($B36,'Satınalma Takvimi Veri Girişi'!$B$4:$AC$146,25,FALSE),"")</f>
        <v/>
      </c>
      <c r="AO36" s="147" t="str">
        <f>IF(VLOOKUP($B36,'Satınalma Takvimi Veri Girişi'!$B$4:$AC$146,26,FALSE)&lt;&gt;"",VLOOKUP($B36,'Satınalma Takvimi Veri Girişi'!$B$4:$AC$146,26,FALSE),"")</f>
        <v/>
      </c>
      <c r="AP36" s="147" t="str">
        <f>IF(VLOOKUP($B36,'Satınalma Takvimi Veri Girişi'!$B$4:$AC$146,27,FALSE)&lt;&gt;"",VLOOKUP($B36,'Satınalma Takvimi Veri Girişi'!$B$4:$AC$146,27,FALSE),"")</f>
        <v/>
      </c>
      <c r="AQ36" s="148" t="str">
        <f>IF(VLOOKUP($B36,'Satınalma Takvimi Veri Girişi'!$B$4:$AC$146,28,FALSE)&lt;&gt;"",VLOOKUP($B36,'Satınalma Takvimi Veri Girişi'!$B$4:$AC$146,28,FALSE),"")</f>
        <v/>
      </c>
    </row>
    <row r="37" spans="2:43" ht="19.95" customHeight="1" x14ac:dyDescent="0.3">
      <c r="B37" s="64" t="str">
        <f>Şablon!E36</f>
        <v>IHL.3028.034/1</v>
      </c>
      <c r="C37" s="139" t="str">
        <f>VLOOKUP($B37,Şablon!$E$3:$Q$255,2,FALSE)</f>
        <v>19.06.00 PANJUR İŞLERİ</v>
      </c>
      <c r="D37" s="161" t="str">
        <f>IF(VLOOKUP($B37,'Satınalma Takvimi Veri Girişi'!$B$4:$AC$146,3,FALSE)&lt;&gt;"",VLOOKUP($B37,'Satınalma Takvimi Veri Girişi'!$B$4:$AC$146,3,FALSE),"")</f>
        <v/>
      </c>
      <c r="E37" s="139" t="str">
        <f>VLOOKUP($B37,Şablon!$E$3:$Q$255,3,FALSE)</f>
        <v>B KATEGORİ</v>
      </c>
      <c r="F37" s="140" t="str">
        <f>VLOOKUP($B37,Şablon!$E$3:$Q$255,4,FALSE)</f>
        <v>İNŞ</v>
      </c>
      <c r="G37" s="141">
        <f>VLOOKUP($B37,Şablon!$E$3:$Q$255,5,FALSE)</f>
        <v>0</v>
      </c>
      <c r="H37" s="142" t="str">
        <f t="shared" si="0"/>
        <v/>
      </c>
      <c r="I37" s="143" t="str">
        <f t="shared" si="1"/>
        <v/>
      </c>
      <c r="J37" s="144" t="str">
        <f>IF(VLOOKUP($B37,'Satınalma Takvimi Veri Girişi'!$B$4:$AC$146,7,FALSE)&lt;&gt;"",VLOOKUP($B37,'Satınalma Takvimi Veri Girişi'!$B$4:$AC$146,7,FALSE),"")</f>
        <v/>
      </c>
      <c r="K37" s="141">
        <f>VLOOKUP($B37,Şablon!$E$3:$Q$255,6,FALSE)</f>
        <v>14</v>
      </c>
      <c r="L37" s="142" t="str">
        <f t="shared" si="2"/>
        <v/>
      </c>
      <c r="M37" s="143" t="str">
        <f t="shared" si="3"/>
        <v/>
      </c>
      <c r="N37" s="144" t="str">
        <f>IF(VLOOKUP($B37,'Satınalma Takvimi Veri Girişi'!$B$4:$AC$146,9,FALSE)&lt;&gt;"",VLOOKUP($B37,'Satınalma Takvimi Veri Girişi'!$B$4:$AC$146,9,FALSE),"")</f>
        <v/>
      </c>
      <c r="O37" s="141">
        <f>VLOOKUP($B37,Şablon!$E$3:$Q$255,7,FALSE)</f>
        <v>14</v>
      </c>
      <c r="P37" s="142" t="str">
        <f t="shared" si="4"/>
        <v/>
      </c>
      <c r="Q37" s="143" t="str">
        <f t="shared" si="5"/>
        <v/>
      </c>
      <c r="R37" s="144" t="str">
        <f>IF(VLOOKUP($B37,'Satınalma Takvimi Veri Girişi'!$B$4:$AC$146,11,FALSE)&lt;&gt;"",VLOOKUP($B37,'Satınalma Takvimi Veri Girişi'!$B$4:$AC$146,11,FALSE),"")</f>
        <v/>
      </c>
      <c r="S37" s="141">
        <f>VLOOKUP($B37,Şablon!$E$3:$Q$255,8,FALSE)</f>
        <v>28</v>
      </c>
      <c r="T37" s="142" t="str">
        <f t="shared" si="6"/>
        <v/>
      </c>
      <c r="U37" s="143" t="str">
        <f t="shared" si="7"/>
        <v/>
      </c>
      <c r="V37" s="144" t="str">
        <f>IF(VLOOKUP($B37,'Satınalma Takvimi Veri Girişi'!$B$4:$AC$146,13,FALSE)&lt;&gt;"",VLOOKUP($B37,'Satınalma Takvimi Veri Girişi'!$B$4:$AC$146,13,FALSE),"")</f>
        <v/>
      </c>
      <c r="W37" s="141">
        <f>VLOOKUP($B37,Şablon!$E$3:$Q$255,9,FALSE)</f>
        <v>7</v>
      </c>
      <c r="X37" s="142" t="str">
        <f t="shared" si="8"/>
        <v/>
      </c>
      <c r="Y37" s="143" t="str">
        <f t="shared" si="9"/>
        <v/>
      </c>
      <c r="Z37" s="144" t="str">
        <f>IF(VLOOKUP($B37,'Satınalma Takvimi Veri Girişi'!$B$4:$AC$146,15,FALSE)&lt;&gt;"",VLOOKUP($B37,'Satınalma Takvimi Veri Girişi'!$B$4:$AC$146,15,FALSE),"")</f>
        <v/>
      </c>
      <c r="AA37" s="141">
        <f>VLOOKUP($B37,Şablon!$E$3:$Q$255,10,FALSE)</f>
        <v>14</v>
      </c>
      <c r="AB37" s="142" t="str">
        <f t="shared" si="10"/>
        <v/>
      </c>
      <c r="AC37" s="143" t="str">
        <f t="shared" si="11"/>
        <v/>
      </c>
      <c r="AD37" s="144" t="str">
        <f>IF(VLOOKUP($B37,'Satınalma Takvimi Veri Girişi'!$B$4:$AC$146,17,FALSE)&lt;&gt;"",VLOOKUP($B37,'Satınalma Takvimi Veri Girişi'!$B$4:$AC$146,17,FALSE),"")</f>
        <v/>
      </c>
      <c r="AE37" s="141">
        <f>(VLOOKUP($B37,Şablon!$E$3:$Q$255,11,FALSE)+VLOOKUP($B37,Şablon!$E$3:$Q$255,12,FALSE))</f>
        <v>67</v>
      </c>
      <c r="AF37" s="142" t="str">
        <f t="shared" si="12"/>
        <v/>
      </c>
      <c r="AG37" s="143" t="str">
        <f t="shared" si="13"/>
        <v/>
      </c>
      <c r="AH37" s="144" t="str">
        <f>IF(VLOOKUP($B37,'Satınalma Takvimi Veri Girişi'!$B$4:$AC$146,19,FALSE)&lt;&gt;"",VLOOKUP($B37,'Satınalma Takvimi Veri Girişi'!$B$4:$AC$146,19,FALSE),"")</f>
        <v/>
      </c>
      <c r="AI37" s="145" t="str">
        <f>IF(VLOOKUP($B37,'Satınalma Takvimi Veri Girişi'!$B$4:$AC$146,20,FALSE)&lt;&gt;"",VLOOKUP($B37,'Satınalma Takvimi Veri Girişi'!$B$4:$AC$146,20,FALSE),"")</f>
        <v/>
      </c>
      <c r="AJ37" s="144" t="str">
        <f>IF(VLOOKUP($B37,'Satınalma Takvimi Veri Girişi'!$B$4:$AC$146,21,FALSE)&lt;&gt;"",VLOOKUP($B37,'Satınalma Takvimi Veri Girişi'!$B$4:$AC$146,21,FALSE),"")</f>
        <v/>
      </c>
      <c r="AK37" s="146" t="str">
        <f>IF(VLOOKUP($B37,'Satınalma Takvimi Veri Girişi'!$B$4:$AC$146,22,FALSE)&lt;&gt;"",VLOOKUP($B37,'Satınalma Takvimi Veri Girişi'!$B$4:$AC$146,22,FALSE),"")</f>
        <v/>
      </c>
      <c r="AL37" s="147" t="str">
        <f>IF(VLOOKUP($B37,'Satınalma Takvimi Veri Girişi'!$B$4:$AC$146,23,FALSE)&lt;&gt;"",VLOOKUP($B37,'Satınalma Takvimi Veri Girişi'!$B$4:$AC$146,23,FALSE),"")</f>
        <v/>
      </c>
      <c r="AM37" s="147" t="str">
        <f>IF(VLOOKUP($B37,'Satınalma Takvimi Veri Girişi'!$B$4:$AC$146,24,FALSE)&lt;&gt;"",VLOOKUP($B37,'Satınalma Takvimi Veri Girişi'!$B$4:$AC$146,24,FALSE),"")</f>
        <v/>
      </c>
      <c r="AN37" s="147" t="str">
        <f>IF(VLOOKUP($B37,'Satınalma Takvimi Veri Girişi'!$B$4:$AC$146,25,FALSE)&lt;&gt;"",VLOOKUP($B37,'Satınalma Takvimi Veri Girişi'!$B$4:$AC$146,25,FALSE),"")</f>
        <v/>
      </c>
      <c r="AO37" s="147" t="str">
        <f>IF(VLOOKUP($B37,'Satınalma Takvimi Veri Girişi'!$B$4:$AC$146,26,FALSE)&lt;&gt;"",VLOOKUP($B37,'Satınalma Takvimi Veri Girişi'!$B$4:$AC$146,26,FALSE),"")</f>
        <v/>
      </c>
      <c r="AP37" s="147" t="str">
        <f>IF(VLOOKUP($B37,'Satınalma Takvimi Veri Girişi'!$B$4:$AC$146,27,FALSE)&lt;&gt;"",VLOOKUP($B37,'Satınalma Takvimi Veri Girişi'!$B$4:$AC$146,27,FALSE),"")</f>
        <v/>
      </c>
      <c r="AQ37" s="148" t="str">
        <f>IF(VLOOKUP($B37,'Satınalma Takvimi Veri Girişi'!$B$4:$AC$146,28,FALSE)&lt;&gt;"",VLOOKUP($B37,'Satınalma Takvimi Veri Girişi'!$B$4:$AC$146,28,FALSE),"")</f>
        <v/>
      </c>
    </row>
    <row r="38" spans="2:43" ht="19.95" customHeight="1" x14ac:dyDescent="0.3">
      <c r="B38" s="64" t="str">
        <f>Şablon!E37</f>
        <v>IHL.3028.035/1</v>
      </c>
      <c r="C38" s="139" t="str">
        <f>VLOOKUP($B38,Şablon!$E$3:$Q$255,2,FALSE)</f>
        <v>19.06.01 TENTE İŞLERİ</v>
      </c>
      <c r="D38" s="161" t="str">
        <f>IF(VLOOKUP($B38,'Satınalma Takvimi Veri Girişi'!$B$4:$AC$146,3,FALSE)&lt;&gt;"",VLOOKUP($B38,'Satınalma Takvimi Veri Girişi'!$B$4:$AC$146,3,FALSE),"")</f>
        <v/>
      </c>
      <c r="E38" s="139" t="str">
        <f>VLOOKUP($B38,Şablon!$E$3:$Q$255,3,FALSE)</f>
        <v>B KATEGORİ</v>
      </c>
      <c r="F38" s="140" t="str">
        <f>VLOOKUP($B38,Şablon!$E$3:$Q$255,4,FALSE)</f>
        <v>İNŞ</v>
      </c>
      <c r="G38" s="141">
        <f>VLOOKUP($B38,Şablon!$E$3:$Q$255,5,FALSE)</f>
        <v>0</v>
      </c>
      <c r="H38" s="142" t="str">
        <f t="shared" si="0"/>
        <v/>
      </c>
      <c r="I38" s="143" t="str">
        <f t="shared" si="1"/>
        <v/>
      </c>
      <c r="J38" s="144" t="str">
        <f>IF(VLOOKUP($B38,'Satınalma Takvimi Veri Girişi'!$B$4:$AC$146,7,FALSE)&lt;&gt;"",VLOOKUP($B38,'Satınalma Takvimi Veri Girişi'!$B$4:$AC$146,7,FALSE),"")</f>
        <v/>
      </c>
      <c r="K38" s="141">
        <f>VLOOKUP($B38,Şablon!$E$3:$Q$255,6,FALSE)</f>
        <v>14</v>
      </c>
      <c r="L38" s="142" t="str">
        <f t="shared" si="2"/>
        <v/>
      </c>
      <c r="M38" s="143" t="str">
        <f t="shared" si="3"/>
        <v/>
      </c>
      <c r="N38" s="144" t="str">
        <f>IF(VLOOKUP($B38,'Satınalma Takvimi Veri Girişi'!$B$4:$AC$146,9,FALSE)&lt;&gt;"",VLOOKUP($B38,'Satınalma Takvimi Veri Girişi'!$B$4:$AC$146,9,FALSE),"")</f>
        <v/>
      </c>
      <c r="O38" s="141">
        <f>VLOOKUP($B38,Şablon!$E$3:$Q$255,7,FALSE)</f>
        <v>14</v>
      </c>
      <c r="P38" s="142" t="str">
        <f t="shared" si="4"/>
        <v/>
      </c>
      <c r="Q38" s="143" t="str">
        <f t="shared" si="5"/>
        <v/>
      </c>
      <c r="R38" s="144" t="str">
        <f>IF(VLOOKUP($B38,'Satınalma Takvimi Veri Girişi'!$B$4:$AC$146,11,FALSE)&lt;&gt;"",VLOOKUP($B38,'Satınalma Takvimi Veri Girişi'!$B$4:$AC$146,11,FALSE),"")</f>
        <v/>
      </c>
      <c r="S38" s="141">
        <f>VLOOKUP($B38,Şablon!$E$3:$Q$255,8,FALSE)</f>
        <v>28</v>
      </c>
      <c r="T38" s="142" t="str">
        <f t="shared" si="6"/>
        <v/>
      </c>
      <c r="U38" s="143" t="str">
        <f t="shared" si="7"/>
        <v/>
      </c>
      <c r="V38" s="144" t="str">
        <f>IF(VLOOKUP($B38,'Satınalma Takvimi Veri Girişi'!$B$4:$AC$146,13,FALSE)&lt;&gt;"",VLOOKUP($B38,'Satınalma Takvimi Veri Girişi'!$B$4:$AC$146,13,FALSE),"")</f>
        <v/>
      </c>
      <c r="W38" s="141">
        <f>VLOOKUP($B38,Şablon!$E$3:$Q$255,9,FALSE)</f>
        <v>7</v>
      </c>
      <c r="X38" s="142" t="str">
        <f t="shared" si="8"/>
        <v/>
      </c>
      <c r="Y38" s="143" t="str">
        <f t="shared" si="9"/>
        <v/>
      </c>
      <c r="Z38" s="144" t="str">
        <f>IF(VLOOKUP($B38,'Satınalma Takvimi Veri Girişi'!$B$4:$AC$146,15,FALSE)&lt;&gt;"",VLOOKUP($B38,'Satınalma Takvimi Veri Girişi'!$B$4:$AC$146,15,FALSE),"")</f>
        <v/>
      </c>
      <c r="AA38" s="141">
        <f>VLOOKUP($B38,Şablon!$E$3:$Q$255,10,FALSE)</f>
        <v>14</v>
      </c>
      <c r="AB38" s="142" t="str">
        <f t="shared" si="10"/>
        <v/>
      </c>
      <c r="AC38" s="143" t="str">
        <f t="shared" si="11"/>
        <v/>
      </c>
      <c r="AD38" s="144" t="str">
        <f>IF(VLOOKUP($B38,'Satınalma Takvimi Veri Girişi'!$B$4:$AC$146,17,FALSE)&lt;&gt;"",VLOOKUP($B38,'Satınalma Takvimi Veri Girişi'!$B$4:$AC$146,17,FALSE),"")</f>
        <v/>
      </c>
      <c r="AE38" s="141">
        <f>(VLOOKUP($B38,Şablon!$E$3:$Q$255,11,FALSE)+VLOOKUP($B38,Şablon!$E$3:$Q$255,12,FALSE))</f>
        <v>67</v>
      </c>
      <c r="AF38" s="142" t="str">
        <f t="shared" si="12"/>
        <v/>
      </c>
      <c r="AG38" s="143" t="str">
        <f t="shared" si="13"/>
        <v/>
      </c>
      <c r="AH38" s="144" t="str">
        <f>IF(VLOOKUP($B38,'Satınalma Takvimi Veri Girişi'!$B$4:$AC$146,19,FALSE)&lt;&gt;"",VLOOKUP($B38,'Satınalma Takvimi Veri Girişi'!$B$4:$AC$146,19,FALSE),"")</f>
        <v/>
      </c>
      <c r="AI38" s="145" t="str">
        <f>IF(VLOOKUP($B38,'Satınalma Takvimi Veri Girişi'!$B$4:$AC$146,20,FALSE)&lt;&gt;"",VLOOKUP($B38,'Satınalma Takvimi Veri Girişi'!$B$4:$AC$146,20,FALSE),"")</f>
        <v/>
      </c>
      <c r="AJ38" s="144" t="str">
        <f>IF(VLOOKUP($B38,'Satınalma Takvimi Veri Girişi'!$B$4:$AC$146,21,FALSE)&lt;&gt;"",VLOOKUP($B38,'Satınalma Takvimi Veri Girişi'!$B$4:$AC$146,21,FALSE),"")</f>
        <v/>
      </c>
      <c r="AK38" s="146" t="str">
        <f>IF(VLOOKUP($B38,'Satınalma Takvimi Veri Girişi'!$B$4:$AC$146,22,FALSE)&lt;&gt;"",VLOOKUP($B38,'Satınalma Takvimi Veri Girişi'!$B$4:$AC$146,22,FALSE),"")</f>
        <v/>
      </c>
      <c r="AL38" s="147" t="str">
        <f>IF(VLOOKUP($B38,'Satınalma Takvimi Veri Girişi'!$B$4:$AC$146,23,FALSE)&lt;&gt;"",VLOOKUP($B38,'Satınalma Takvimi Veri Girişi'!$B$4:$AC$146,23,FALSE),"")</f>
        <v/>
      </c>
      <c r="AM38" s="147" t="str">
        <f>IF(VLOOKUP($B38,'Satınalma Takvimi Veri Girişi'!$B$4:$AC$146,24,FALSE)&lt;&gt;"",VLOOKUP($B38,'Satınalma Takvimi Veri Girişi'!$B$4:$AC$146,24,FALSE),"")</f>
        <v/>
      </c>
      <c r="AN38" s="147" t="str">
        <f>IF(VLOOKUP($B38,'Satınalma Takvimi Veri Girişi'!$B$4:$AC$146,25,FALSE)&lt;&gt;"",VLOOKUP($B38,'Satınalma Takvimi Veri Girişi'!$B$4:$AC$146,25,FALSE),"")</f>
        <v/>
      </c>
      <c r="AO38" s="147" t="str">
        <f>IF(VLOOKUP($B38,'Satınalma Takvimi Veri Girişi'!$B$4:$AC$146,26,FALSE)&lt;&gt;"",VLOOKUP($B38,'Satınalma Takvimi Veri Girişi'!$B$4:$AC$146,26,FALSE),"")</f>
        <v/>
      </c>
      <c r="AP38" s="147" t="str">
        <f>IF(VLOOKUP($B38,'Satınalma Takvimi Veri Girişi'!$B$4:$AC$146,27,FALSE)&lt;&gt;"",VLOOKUP($B38,'Satınalma Takvimi Veri Girişi'!$B$4:$AC$146,27,FALSE),"")</f>
        <v/>
      </c>
      <c r="AQ38" s="148" t="str">
        <f>IF(VLOOKUP($B38,'Satınalma Takvimi Veri Girişi'!$B$4:$AC$146,28,FALSE)&lt;&gt;"",VLOOKUP($B38,'Satınalma Takvimi Veri Girişi'!$B$4:$AC$146,28,FALSE),"")</f>
        <v/>
      </c>
    </row>
    <row r="39" spans="2:43" ht="19.95" customHeight="1" x14ac:dyDescent="0.3">
      <c r="B39" s="64" t="str">
        <f>Şablon!E38</f>
        <v>IHL.3028.036/1</v>
      </c>
      <c r="C39" s="139" t="str">
        <f>VLOOKUP($B39,Şablon!$E$3:$Q$255,2,FALSE)</f>
        <v>15.01.00 (M) GAZBETON MALZEME</v>
      </c>
      <c r="D39" s="161" t="str">
        <f>IF(VLOOKUP($B39,'Satınalma Takvimi Veri Girişi'!$B$4:$AC$146,3,FALSE)&lt;&gt;"",VLOOKUP($B39,'Satınalma Takvimi Veri Girişi'!$B$4:$AC$146,3,FALSE),"")</f>
        <v/>
      </c>
      <c r="E39" s="139" t="str">
        <f>VLOOKUP($B39,Şablon!$E$3:$Q$255,3,FALSE)</f>
        <v>B KATEGORİ</v>
      </c>
      <c r="F39" s="140" t="str">
        <f>VLOOKUP($B39,Şablon!$E$3:$Q$255,4,FALSE)</f>
        <v>İNŞ</v>
      </c>
      <c r="G39" s="141">
        <f>VLOOKUP($B39,Şablon!$E$3:$Q$255,5,FALSE)</f>
        <v>0</v>
      </c>
      <c r="H39" s="142" t="str">
        <f t="shared" si="0"/>
        <v/>
      </c>
      <c r="I39" s="143" t="str">
        <f t="shared" si="1"/>
        <v/>
      </c>
      <c r="J39" s="144" t="str">
        <f>IF(VLOOKUP($B39,'Satınalma Takvimi Veri Girişi'!$B$4:$AC$146,7,FALSE)&lt;&gt;"",VLOOKUP($B39,'Satınalma Takvimi Veri Girişi'!$B$4:$AC$146,7,FALSE),"")</f>
        <v/>
      </c>
      <c r="K39" s="141">
        <f>VLOOKUP($B39,Şablon!$E$3:$Q$255,6,FALSE)</f>
        <v>14</v>
      </c>
      <c r="L39" s="142" t="str">
        <f t="shared" si="2"/>
        <v/>
      </c>
      <c r="M39" s="143" t="str">
        <f t="shared" si="3"/>
        <v/>
      </c>
      <c r="N39" s="144" t="str">
        <f>IF(VLOOKUP($B39,'Satınalma Takvimi Veri Girişi'!$B$4:$AC$146,9,FALSE)&lt;&gt;"",VLOOKUP($B39,'Satınalma Takvimi Veri Girişi'!$B$4:$AC$146,9,FALSE),"")</f>
        <v/>
      </c>
      <c r="O39" s="141">
        <f>VLOOKUP($B39,Şablon!$E$3:$Q$255,7,FALSE)</f>
        <v>7</v>
      </c>
      <c r="P39" s="142" t="str">
        <f t="shared" si="4"/>
        <v/>
      </c>
      <c r="Q39" s="143" t="str">
        <f t="shared" si="5"/>
        <v/>
      </c>
      <c r="R39" s="144" t="str">
        <f>IF(VLOOKUP($B39,'Satınalma Takvimi Veri Girişi'!$B$4:$AC$146,11,FALSE)&lt;&gt;"",VLOOKUP($B39,'Satınalma Takvimi Veri Girişi'!$B$4:$AC$146,11,FALSE),"")</f>
        <v/>
      </c>
      <c r="S39" s="141">
        <f>VLOOKUP($B39,Şablon!$E$3:$Q$255,8,FALSE)</f>
        <v>14</v>
      </c>
      <c r="T39" s="142" t="str">
        <f t="shared" si="6"/>
        <v/>
      </c>
      <c r="U39" s="143" t="str">
        <f t="shared" si="7"/>
        <v/>
      </c>
      <c r="V39" s="144" t="str">
        <f>IF(VLOOKUP($B39,'Satınalma Takvimi Veri Girişi'!$B$4:$AC$146,13,FALSE)&lt;&gt;"",VLOOKUP($B39,'Satınalma Takvimi Veri Girişi'!$B$4:$AC$146,13,FALSE),"")</f>
        <v/>
      </c>
      <c r="W39" s="141">
        <f>VLOOKUP($B39,Şablon!$E$3:$Q$255,9,FALSE)</f>
        <v>7</v>
      </c>
      <c r="X39" s="142" t="str">
        <f t="shared" si="8"/>
        <v/>
      </c>
      <c r="Y39" s="143" t="str">
        <f t="shared" si="9"/>
        <v/>
      </c>
      <c r="Z39" s="144" t="str">
        <f>IF(VLOOKUP($B39,'Satınalma Takvimi Veri Girişi'!$B$4:$AC$146,15,FALSE)&lt;&gt;"",VLOOKUP($B39,'Satınalma Takvimi Veri Girişi'!$B$4:$AC$146,15,FALSE),"")</f>
        <v/>
      </c>
      <c r="AA39" s="141">
        <f>VLOOKUP($B39,Şablon!$E$3:$Q$255,10,FALSE)</f>
        <v>7</v>
      </c>
      <c r="AB39" s="142" t="str">
        <f t="shared" si="10"/>
        <v/>
      </c>
      <c r="AC39" s="143" t="str">
        <f t="shared" si="11"/>
        <v/>
      </c>
      <c r="AD39" s="144" t="str">
        <f>IF(VLOOKUP($B39,'Satınalma Takvimi Veri Girişi'!$B$4:$AC$146,17,FALSE)&lt;&gt;"",VLOOKUP($B39,'Satınalma Takvimi Veri Girişi'!$B$4:$AC$146,17,FALSE),"")</f>
        <v/>
      </c>
      <c r="AE39" s="141">
        <f>(VLOOKUP($B39,Şablon!$E$3:$Q$255,11,FALSE)+VLOOKUP($B39,Şablon!$E$3:$Q$255,12,FALSE))</f>
        <v>14</v>
      </c>
      <c r="AF39" s="142" t="str">
        <f t="shared" si="12"/>
        <v/>
      </c>
      <c r="AG39" s="143" t="str">
        <f t="shared" si="13"/>
        <v/>
      </c>
      <c r="AH39" s="144" t="str">
        <f>IF(VLOOKUP($B39,'Satınalma Takvimi Veri Girişi'!$B$4:$AC$146,19,FALSE)&lt;&gt;"",VLOOKUP($B39,'Satınalma Takvimi Veri Girişi'!$B$4:$AC$146,19,FALSE),"")</f>
        <v/>
      </c>
      <c r="AI39" s="145" t="str">
        <f>IF(VLOOKUP($B39,'Satınalma Takvimi Veri Girişi'!$B$4:$AC$146,20,FALSE)&lt;&gt;"",VLOOKUP($B39,'Satınalma Takvimi Veri Girişi'!$B$4:$AC$146,20,FALSE),"")</f>
        <v/>
      </c>
      <c r="AJ39" s="144" t="str">
        <f>IF(VLOOKUP($B39,'Satınalma Takvimi Veri Girişi'!$B$4:$AC$146,21,FALSE)&lt;&gt;"",VLOOKUP($B39,'Satınalma Takvimi Veri Girişi'!$B$4:$AC$146,21,FALSE),"")</f>
        <v/>
      </c>
      <c r="AK39" s="146" t="str">
        <f>IF(VLOOKUP($B39,'Satınalma Takvimi Veri Girişi'!$B$4:$AC$146,22,FALSE)&lt;&gt;"",VLOOKUP($B39,'Satınalma Takvimi Veri Girişi'!$B$4:$AC$146,22,FALSE),"")</f>
        <v/>
      </c>
      <c r="AL39" s="147" t="str">
        <f>IF(VLOOKUP($B39,'Satınalma Takvimi Veri Girişi'!$B$4:$AC$146,23,FALSE)&lt;&gt;"",VLOOKUP($B39,'Satınalma Takvimi Veri Girişi'!$B$4:$AC$146,23,FALSE),"")</f>
        <v/>
      </c>
      <c r="AM39" s="147" t="str">
        <f>IF(VLOOKUP($B39,'Satınalma Takvimi Veri Girişi'!$B$4:$AC$146,24,FALSE)&lt;&gt;"",VLOOKUP($B39,'Satınalma Takvimi Veri Girişi'!$B$4:$AC$146,24,FALSE),"")</f>
        <v/>
      </c>
      <c r="AN39" s="147" t="str">
        <f>IF(VLOOKUP($B39,'Satınalma Takvimi Veri Girişi'!$B$4:$AC$146,25,FALSE)&lt;&gt;"",VLOOKUP($B39,'Satınalma Takvimi Veri Girişi'!$B$4:$AC$146,25,FALSE),"")</f>
        <v/>
      </c>
      <c r="AO39" s="147" t="str">
        <f>IF(VLOOKUP($B39,'Satınalma Takvimi Veri Girişi'!$B$4:$AC$146,26,FALSE)&lt;&gt;"",VLOOKUP($B39,'Satınalma Takvimi Veri Girişi'!$B$4:$AC$146,26,FALSE),"")</f>
        <v/>
      </c>
      <c r="AP39" s="147" t="str">
        <f>IF(VLOOKUP($B39,'Satınalma Takvimi Veri Girişi'!$B$4:$AC$146,27,FALSE)&lt;&gt;"",VLOOKUP($B39,'Satınalma Takvimi Veri Girişi'!$B$4:$AC$146,27,FALSE),"")</f>
        <v/>
      </c>
      <c r="AQ39" s="148" t="str">
        <f>IF(VLOOKUP($B39,'Satınalma Takvimi Veri Girişi'!$B$4:$AC$146,28,FALSE)&lt;&gt;"",VLOOKUP($B39,'Satınalma Takvimi Veri Girişi'!$B$4:$AC$146,28,FALSE),"")</f>
        <v/>
      </c>
    </row>
    <row r="40" spans="2:43" ht="19.95" customHeight="1" x14ac:dyDescent="0.3">
      <c r="B40" s="64" t="str">
        <f>Şablon!E39</f>
        <v>IHL.3028.037/1</v>
      </c>
      <c r="C40" s="139" t="str">
        <f>VLOOKUP($B40,Şablon!$E$3:$Q$255,2,FALSE)</f>
        <v>15.01.00 GAZBETON DUVAR</v>
      </c>
      <c r="D40" s="161" t="str">
        <f>IF(VLOOKUP($B40,'Satınalma Takvimi Veri Girişi'!$B$4:$AC$146,3,FALSE)&lt;&gt;"",VLOOKUP($B40,'Satınalma Takvimi Veri Girişi'!$B$4:$AC$146,3,FALSE),"")</f>
        <v/>
      </c>
      <c r="E40" s="139" t="str">
        <f>VLOOKUP($B40,Şablon!$E$3:$Q$255,3,FALSE)</f>
        <v>B KATEGORİ</v>
      </c>
      <c r="F40" s="140" t="str">
        <f>VLOOKUP($B40,Şablon!$E$3:$Q$255,4,FALSE)</f>
        <v>İNŞ</v>
      </c>
      <c r="G40" s="141">
        <f>VLOOKUP($B40,Şablon!$E$3:$Q$255,5,FALSE)</f>
        <v>0</v>
      </c>
      <c r="H40" s="142" t="str">
        <f t="shared" si="0"/>
        <v/>
      </c>
      <c r="I40" s="143" t="str">
        <f t="shared" si="1"/>
        <v/>
      </c>
      <c r="J40" s="144" t="str">
        <f>IF(VLOOKUP($B40,'Satınalma Takvimi Veri Girişi'!$B$4:$AC$146,7,FALSE)&lt;&gt;"",VLOOKUP($B40,'Satınalma Takvimi Veri Girişi'!$B$4:$AC$146,7,FALSE),"")</f>
        <v/>
      </c>
      <c r="K40" s="141">
        <f>VLOOKUP($B40,Şablon!$E$3:$Q$255,6,FALSE)</f>
        <v>14</v>
      </c>
      <c r="L40" s="142" t="str">
        <f t="shared" si="2"/>
        <v/>
      </c>
      <c r="M40" s="143" t="str">
        <f t="shared" si="3"/>
        <v/>
      </c>
      <c r="N40" s="144" t="str">
        <f>IF(VLOOKUP($B40,'Satınalma Takvimi Veri Girişi'!$B$4:$AC$146,9,FALSE)&lt;&gt;"",VLOOKUP($B40,'Satınalma Takvimi Veri Girişi'!$B$4:$AC$146,9,FALSE),"")</f>
        <v/>
      </c>
      <c r="O40" s="141">
        <f>VLOOKUP($B40,Şablon!$E$3:$Q$255,7,FALSE)</f>
        <v>14</v>
      </c>
      <c r="P40" s="142" t="str">
        <f t="shared" si="4"/>
        <v/>
      </c>
      <c r="Q40" s="143" t="str">
        <f t="shared" si="5"/>
        <v/>
      </c>
      <c r="R40" s="144" t="str">
        <f>IF(VLOOKUP($B40,'Satınalma Takvimi Veri Girişi'!$B$4:$AC$146,11,FALSE)&lt;&gt;"",VLOOKUP($B40,'Satınalma Takvimi Veri Girişi'!$B$4:$AC$146,11,FALSE),"")</f>
        <v/>
      </c>
      <c r="S40" s="141">
        <f>VLOOKUP($B40,Şablon!$E$3:$Q$255,8,FALSE)</f>
        <v>21</v>
      </c>
      <c r="T40" s="142" t="str">
        <f t="shared" si="6"/>
        <v/>
      </c>
      <c r="U40" s="143" t="str">
        <f t="shared" si="7"/>
        <v/>
      </c>
      <c r="V40" s="144" t="str">
        <f>IF(VLOOKUP($B40,'Satınalma Takvimi Veri Girişi'!$B$4:$AC$146,13,FALSE)&lt;&gt;"",VLOOKUP($B40,'Satınalma Takvimi Veri Girişi'!$B$4:$AC$146,13,FALSE),"")</f>
        <v/>
      </c>
      <c r="W40" s="141">
        <f>VLOOKUP($B40,Şablon!$E$3:$Q$255,9,FALSE)</f>
        <v>7</v>
      </c>
      <c r="X40" s="142" t="str">
        <f t="shared" si="8"/>
        <v/>
      </c>
      <c r="Y40" s="143" t="str">
        <f t="shared" si="9"/>
        <v/>
      </c>
      <c r="Z40" s="144" t="str">
        <f>IF(VLOOKUP($B40,'Satınalma Takvimi Veri Girişi'!$B$4:$AC$146,15,FALSE)&lt;&gt;"",VLOOKUP($B40,'Satınalma Takvimi Veri Girişi'!$B$4:$AC$146,15,FALSE),"")</f>
        <v/>
      </c>
      <c r="AA40" s="141">
        <f>VLOOKUP($B40,Şablon!$E$3:$Q$255,10,FALSE)</f>
        <v>7</v>
      </c>
      <c r="AB40" s="142" t="str">
        <f t="shared" si="10"/>
        <v/>
      </c>
      <c r="AC40" s="143" t="str">
        <f t="shared" si="11"/>
        <v/>
      </c>
      <c r="AD40" s="144" t="str">
        <f>IF(VLOOKUP($B40,'Satınalma Takvimi Veri Girişi'!$B$4:$AC$146,17,FALSE)&lt;&gt;"",VLOOKUP($B40,'Satınalma Takvimi Veri Girişi'!$B$4:$AC$146,17,FALSE),"")</f>
        <v/>
      </c>
      <c r="AE40" s="141">
        <f>(VLOOKUP($B40,Şablon!$E$3:$Q$255,11,FALSE)+VLOOKUP($B40,Şablon!$E$3:$Q$255,12,FALSE))</f>
        <v>7</v>
      </c>
      <c r="AF40" s="142" t="str">
        <f t="shared" si="12"/>
        <v/>
      </c>
      <c r="AG40" s="143" t="str">
        <f t="shared" si="13"/>
        <v/>
      </c>
      <c r="AH40" s="144" t="str">
        <f>IF(VLOOKUP($B40,'Satınalma Takvimi Veri Girişi'!$B$4:$AC$146,19,FALSE)&lt;&gt;"",VLOOKUP($B40,'Satınalma Takvimi Veri Girişi'!$B$4:$AC$146,19,FALSE),"")</f>
        <v/>
      </c>
      <c r="AI40" s="145" t="str">
        <f>IF(VLOOKUP($B40,'Satınalma Takvimi Veri Girişi'!$B$4:$AC$146,20,FALSE)&lt;&gt;"",VLOOKUP($B40,'Satınalma Takvimi Veri Girişi'!$B$4:$AC$146,20,FALSE),"")</f>
        <v/>
      </c>
      <c r="AJ40" s="144" t="str">
        <f>IF(VLOOKUP($B40,'Satınalma Takvimi Veri Girişi'!$B$4:$AC$146,21,FALSE)&lt;&gt;"",VLOOKUP($B40,'Satınalma Takvimi Veri Girişi'!$B$4:$AC$146,21,FALSE),"")</f>
        <v/>
      </c>
      <c r="AK40" s="146" t="str">
        <f>IF(VLOOKUP($B40,'Satınalma Takvimi Veri Girişi'!$B$4:$AC$146,22,FALSE)&lt;&gt;"",VLOOKUP($B40,'Satınalma Takvimi Veri Girişi'!$B$4:$AC$146,22,FALSE),"")</f>
        <v/>
      </c>
      <c r="AL40" s="147" t="str">
        <f>IF(VLOOKUP($B40,'Satınalma Takvimi Veri Girişi'!$B$4:$AC$146,23,FALSE)&lt;&gt;"",VLOOKUP($B40,'Satınalma Takvimi Veri Girişi'!$B$4:$AC$146,23,FALSE),"")</f>
        <v/>
      </c>
      <c r="AM40" s="147" t="str">
        <f>IF(VLOOKUP($B40,'Satınalma Takvimi Veri Girişi'!$B$4:$AC$146,24,FALSE)&lt;&gt;"",VLOOKUP($B40,'Satınalma Takvimi Veri Girişi'!$B$4:$AC$146,24,FALSE),"")</f>
        <v/>
      </c>
      <c r="AN40" s="147" t="str">
        <f>IF(VLOOKUP($B40,'Satınalma Takvimi Veri Girişi'!$B$4:$AC$146,25,FALSE)&lt;&gt;"",VLOOKUP($B40,'Satınalma Takvimi Veri Girişi'!$B$4:$AC$146,25,FALSE),"")</f>
        <v/>
      </c>
      <c r="AO40" s="147" t="str">
        <f>IF(VLOOKUP($B40,'Satınalma Takvimi Veri Girişi'!$B$4:$AC$146,26,FALSE)&lt;&gt;"",VLOOKUP($B40,'Satınalma Takvimi Veri Girişi'!$B$4:$AC$146,26,FALSE),"")</f>
        <v/>
      </c>
      <c r="AP40" s="147" t="str">
        <f>IF(VLOOKUP($B40,'Satınalma Takvimi Veri Girişi'!$B$4:$AC$146,27,FALSE)&lt;&gt;"",VLOOKUP($B40,'Satınalma Takvimi Veri Girişi'!$B$4:$AC$146,27,FALSE),"")</f>
        <v/>
      </c>
      <c r="AQ40" s="148" t="str">
        <f>IF(VLOOKUP($B40,'Satınalma Takvimi Veri Girişi'!$B$4:$AC$146,28,FALSE)&lt;&gt;"",VLOOKUP($B40,'Satınalma Takvimi Veri Girişi'!$B$4:$AC$146,28,FALSE),"")</f>
        <v/>
      </c>
    </row>
    <row r="41" spans="2:43" ht="19.95" customHeight="1" x14ac:dyDescent="0.3">
      <c r="B41" s="64" t="str">
        <f>Şablon!E40</f>
        <v>IHL.3028.038/1</v>
      </c>
      <c r="C41" s="139" t="str">
        <f>VLOOKUP($B41,Şablon!$E$3:$Q$255,2,FALSE)</f>
        <v>15.01.01 (M) TUĞLA MALZEME</v>
      </c>
      <c r="D41" s="161" t="str">
        <f>IF(VLOOKUP($B41,'Satınalma Takvimi Veri Girişi'!$B$4:$AC$146,3,FALSE)&lt;&gt;"",VLOOKUP($B41,'Satınalma Takvimi Veri Girişi'!$B$4:$AC$146,3,FALSE),"")</f>
        <v/>
      </c>
      <c r="E41" s="139" t="str">
        <f>VLOOKUP($B41,Şablon!$E$3:$Q$255,3,FALSE)</f>
        <v>B KATEGORİ</v>
      </c>
      <c r="F41" s="140" t="str">
        <f>VLOOKUP($B41,Şablon!$E$3:$Q$255,4,FALSE)</f>
        <v>İNŞ</v>
      </c>
      <c r="G41" s="141">
        <f>VLOOKUP($B41,Şablon!$E$3:$Q$255,5,FALSE)</f>
        <v>0</v>
      </c>
      <c r="H41" s="142" t="str">
        <f t="shared" si="0"/>
        <v/>
      </c>
      <c r="I41" s="143" t="str">
        <f t="shared" si="1"/>
        <v/>
      </c>
      <c r="J41" s="144" t="str">
        <f>IF(VLOOKUP($B41,'Satınalma Takvimi Veri Girişi'!$B$4:$AC$146,7,FALSE)&lt;&gt;"",VLOOKUP($B41,'Satınalma Takvimi Veri Girişi'!$B$4:$AC$146,7,FALSE),"")</f>
        <v/>
      </c>
      <c r="K41" s="141">
        <f>VLOOKUP($B41,Şablon!$E$3:$Q$255,6,FALSE)</f>
        <v>14</v>
      </c>
      <c r="L41" s="142" t="str">
        <f t="shared" si="2"/>
        <v/>
      </c>
      <c r="M41" s="143" t="str">
        <f t="shared" si="3"/>
        <v/>
      </c>
      <c r="N41" s="144" t="str">
        <f>IF(VLOOKUP($B41,'Satınalma Takvimi Veri Girişi'!$B$4:$AC$146,9,FALSE)&lt;&gt;"",VLOOKUP($B41,'Satınalma Takvimi Veri Girişi'!$B$4:$AC$146,9,FALSE),"")</f>
        <v/>
      </c>
      <c r="O41" s="141">
        <f>VLOOKUP($B41,Şablon!$E$3:$Q$255,7,FALSE)</f>
        <v>7</v>
      </c>
      <c r="P41" s="142" t="str">
        <f t="shared" si="4"/>
        <v/>
      </c>
      <c r="Q41" s="143" t="str">
        <f t="shared" si="5"/>
        <v/>
      </c>
      <c r="R41" s="144" t="str">
        <f>IF(VLOOKUP($B41,'Satınalma Takvimi Veri Girişi'!$B$4:$AC$146,11,FALSE)&lt;&gt;"",VLOOKUP($B41,'Satınalma Takvimi Veri Girişi'!$B$4:$AC$146,11,FALSE),"")</f>
        <v/>
      </c>
      <c r="S41" s="141">
        <f>VLOOKUP($B41,Şablon!$E$3:$Q$255,8,FALSE)</f>
        <v>14</v>
      </c>
      <c r="T41" s="142" t="str">
        <f t="shared" si="6"/>
        <v/>
      </c>
      <c r="U41" s="143" t="str">
        <f t="shared" si="7"/>
        <v/>
      </c>
      <c r="V41" s="144" t="str">
        <f>IF(VLOOKUP($B41,'Satınalma Takvimi Veri Girişi'!$B$4:$AC$146,13,FALSE)&lt;&gt;"",VLOOKUP($B41,'Satınalma Takvimi Veri Girişi'!$B$4:$AC$146,13,FALSE),"")</f>
        <v/>
      </c>
      <c r="W41" s="141">
        <f>VLOOKUP($B41,Şablon!$E$3:$Q$255,9,FALSE)</f>
        <v>7</v>
      </c>
      <c r="X41" s="142" t="str">
        <f t="shared" si="8"/>
        <v/>
      </c>
      <c r="Y41" s="143" t="str">
        <f t="shared" si="9"/>
        <v/>
      </c>
      <c r="Z41" s="144" t="str">
        <f>IF(VLOOKUP($B41,'Satınalma Takvimi Veri Girişi'!$B$4:$AC$146,15,FALSE)&lt;&gt;"",VLOOKUP($B41,'Satınalma Takvimi Veri Girişi'!$B$4:$AC$146,15,FALSE),"")</f>
        <v/>
      </c>
      <c r="AA41" s="141">
        <f>VLOOKUP($B41,Şablon!$E$3:$Q$255,10,FALSE)</f>
        <v>7</v>
      </c>
      <c r="AB41" s="142" t="str">
        <f t="shared" si="10"/>
        <v/>
      </c>
      <c r="AC41" s="143" t="str">
        <f t="shared" si="11"/>
        <v/>
      </c>
      <c r="AD41" s="144" t="str">
        <f>IF(VLOOKUP($B41,'Satınalma Takvimi Veri Girişi'!$B$4:$AC$146,17,FALSE)&lt;&gt;"",VLOOKUP($B41,'Satınalma Takvimi Veri Girişi'!$B$4:$AC$146,17,FALSE),"")</f>
        <v/>
      </c>
      <c r="AE41" s="141">
        <f>(VLOOKUP($B41,Şablon!$E$3:$Q$255,11,FALSE)+VLOOKUP($B41,Şablon!$E$3:$Q$255,12,FALSE))</f>
        <v>14</v>
      </c>
      <c r="AF41" s="142" t="str">
        <f t="shared" si="12"/>
        <v/>
      </c>
      <c r="AG41" s="143" t="str">
        <f t="shared" si="13"/>
        <v/>
      </c>
      <c r="AH41" s="144" t="str">
        <f>IF(VLOOKUP($B41,'Satınalma Takvimi Veri Girişi'!$B$4:$AC$146,19,FALSE)&lt;&gt;"",VLOOKUP($B41,'Satınalma Takvimi Veri Girişi'!$B$4:$AC$146,19,FALSE),"")</f>
        <v/>
      </c>
      <c r="AI41" s="145" t="str">
        <f>IF(VLOOKUP($B41,'Satınalma Takvimi Veri Girişi'!$B$4:$AC$146,20,FALSE)&lt;&gt;"",VLOOKUP($B41,'Satınalma Takvimi Veri Girişi'!$B$4:$AC$146,20,FALSE),"")</f>
        <v/>
      </c>
      <c r="AJ41" s="144" t="str">
        <f>IF(VLOOKUP($B41,'Satınalma Takvimi Veri Girişi'!$B$4:$AC$146,21,FALSE)&lt;&gt;"",VLOOKUP($B41,'Satınalma Takvimi Veri Girişi'!$B$4:$AC$146,21,FALSE),"")</f>
        <v/>
      </c>
      <c r="AK41" s="146" t="str">
        <f>IF(VLOOKUP($B41,'Satınalma Takvimi Veri Girişi'!$B$4:$AC$146,22,FALSE)&lt;&gt;"",VLOOKUP($B41,'Satınalma Takvimi Veri Girişi'!$B$4:$AC$146,22,FALSE),"")</f>
        <v/>
      </c>
      <c r="AL41" s="147" t="str">
        <f>IF(VLOOKUP($B41,'Satınalma Takvimi Veri Girişi'!$B$4:$AC$146,23,FALSE)&lt;&gt;"",VLOOKUP($B41,'Satınalma Takvimi Veri Girişi'!$B$4:$AC$146,23,FALSE),"")</f>
        <v/>
      </c>
      <c r="AM41" s="147" t="str">
        <f>IF(VLOOKUP($B41,'Satınalma Takvimi Veri Girişi'!$B$4:$AC$146,24,FALSE)&lt;&gt;"",VLOOKUP($B41,'Satınalma Takvimi Veri Girişi'!$B$4:$AC$146,24,FALSE),"")</f>
        <v/>
      </c>
      <c r="AN41" s="147" t="str">
        <f>IF(VLOOKUP($B41,'Satınalma Takvimi Veri Girişi'!$B$4:$AC$146,25,FALSE)&lt;&gt;"",VLOOKUP($B41,'Satınalma Takvimi Veri Girişi'!$B$4:$AC$146,25,FALSE),"")</f>
        <v/>
      </c>
      <c r="AO41" s="147" t="str">
        <f>IF(VLOOKUP($B41,'Satınalma Takvimi Veri Girişi'!$B$4:$AC$146,26,FALSE)&lt;&gt;"",VLOOKUP($B41,'Satınalma Takvimi Veri Girişi'!$B$4:$AC$146,26,FALSE),"")</f>
        <v/>
      </c>
      <c r="AP41" s="147" t="str">
        <f>IF(VLOOKUP($B41,'Satınalma Takvimi Veri Girişi'!$B$4:$AC$146,27,FALSE)&lt;&gt;"",VLOOKUP($B41,'Satınalma Takvimi Veri Girişi'!$B$4:$AC$146,27,FALSE),"")</f>
        <v/>
      </c>
      <c r="AQ41" s="148" t="str">
        <f>IF(VLOOKUP($B41,'Satınalma Takvimi Veri Girişi'!$B$4:$AC$146,28,FALSE)&lt;&gt;"",VLOOKUP($B41,'Satınalma Takvimi Veri Girişi'!$B$4:$AC$146,28,FALSE),"")</f>
        <v/>
      </c>
    </row>
    <row r="42" spans="2:43" ht="19.95" customHeight="1" x14ac:dyDescent="0.3">
      <c r="B42" s="64" t="str">
        <f>Şablon!E41</f>
        <v>IHL.3028.039/1</v>
      </c>
      <c r="C42" s="139" t="str">
        <f>VLOOKUP($B42,Şablon!$E$3:$Q$255,2,FALSE)</f>
        <v>15.01.01 TUĞLA DUVAR İŞLERİ</v>
      </c>
      <c r="D42" s="161" t="str">
        <f>IF(VLOOKUP($B42,'Satınalma Takvimi Veri Girişi'!$B$4:$AC$146,3,FALSE)&lt;&gt;"",VLOOKUP($B42,'Satınalma Takvimi Veri Girişi'!$B$4:$AC$146,3,FALSE),"")</f>
        <v/>
      </c>
      <c r="E42" s="139" t="str">
        <f>VLOOKUP($B42,Şablon!$E$3:$Q$255,3,FALSE)</f>
        <v>B KATEGORİ</v>
      </c>
      <c r="F42" s="140" t="str">
        <f>VLOOKUP($B42,Şablon!$E$3:$Q$255,4,FALSE)</f>
        <v>İNŞ</v>
      </c>
      <c r="G42" s="141">
        <f>VLOOKUP($B42,Şablon!$E$3:$Q$255,5,FALSE)</f>
        <v>0</v>
      </c>
      <c r="H42" s="142" t="str">
        <f t="shared" si="0"/>
        <v/>
      </c>
      <c r="I42" s="143" t="str">
        <f t="shared" si="1"/>
        <v/>
      </c>
      <c r="J42" s="144" t="str">
        <f>IF(VLOOKUP($B42,'Satınalma Takvimi Veri Girişi'!$B$4:$AC$146,7,FALSE)&lt;&gt;"",VLOOKUP($B42,'Satınalma Takvimi Veri Girişi'!$B$4:$AC$146,7,FALSE),"")</f>
        <v/>
      </c>
      <c r="K42" s="141">
        <f>VLOOKUP($B42,Şablon!$E$3:$Q$255,6,FALSE)</f>
        <v>14</v>
      </c>
      <c r="L42" s="142" t="str">
        <f t="shared" si="2"/>
        <v/>
      </c>
      <c r="M42" s="143" t="str">
        <f t="shared" si="3"/>
        <v/>
      </c>
      <c r="N42" s="144" t="str">
        <f>IF(VLOOKUP($B42,'Satınalma Takvimi Veri Girişi'!$B$4:$AC$146,9,FALSE)&lt;&gt;"",VLOOKUP($B42,'Satınalma Takvimi Veri Girişi'!$B$4:$AC$146,9,FALSE),"")</f>
        <v/>
      </c>
      <c r="O42" s="141">
        <f>VLOOKUP($B42,Şablon!$E$3:$Q$255,7,FALSE)</f>
        <v>14</v>
      </c>
      <c r="P42" s="142" t="str">
        <f t="shared" si="4"/>
        <v/>
      </c>
      <c r="Q42" s="143" t="str">
        <f t="shared" si="5"/>
        <v/>
      </c>
      <c r="R42" s="144" t="str">
        <f>IF(VLOOKUP($B42,'Satınalma Takvimi Veri Girişi'!$B$4:$AC$146,11,FALSE)&lt;&gt;"",VLOOKUP($B42,'Satınalma Takvimi Veri Girişi'!$B$4:$AC$146,11,FALSE),"")</f>
        <v/>
      </c>
      <c r="S42" s="141">
        <f>VLOOKUP($B42,Şablon!$E$3:$Q$255,8,FALSE)</f>
        <v>21</v>
      </c>
      <c r="T42" s="142" t="str">
        <f t="shared" si="6"/>
        <v/>
      </c>
      <c r="U42" s="143" t="str">
        <f t="shared" si="7"/>
        <v/>
      </c>
      <c r="V42" s="144" t="str">
        <f>IF(VLOOKUP($B42,'Satınalma Takvimi Veri Girişi'!$B$4:$AC$146,13,FALSE)&lt;&gt;"",VLOOKUP($B42,'Satınalma Takvimi Veri Girişi'!$B$4:$AC$146,13,FALSE),"")</f>
        <v/>
      </c>
      <c r="W42" s="141">
        <f>VLOOKUP($B42,Şablon!$E$3:$Q$255,9,FALSE)</f>
        <v>7</v>
      </c>
      <c r="X42" s="142" t="str">
        <f t="shared" si="8"/>
        <v/>
      </c>
      <c r="Y42" s="143" t="str">
        <f t="shared" si="9"/>
        <v/>
      </c>
      <c r="Z42" s="144" t="str">
        <f>IF(VLOOKUP($B42,'Satınalma Takvimi Veri Girişi'!$B$4:$AC$146,15,FALSE)&lt;&gt;"",VLOOKUP($B42,'Satınalma Takvimi Veri Girişi'!$B$4:$AC$146,15,FALSE),"")</f>
        <v/>
      </c>
      <c r="AA42" s="141">
        <f>VLOOKUP($B42,Şablon!$E$3:$Q$255,10,FALSE)</f>
        <v>7</v>
      </c>
      <c r="AB42" s="142" t="str">
        <f t="shared" si="10"/>
        <v/>
      </c>
      <c r="AC42" s="143" t="str">
        <f t="shared" si="11"/>
        <v/>
      </c>
      <c r="AD42" s="144" t="str">
        <f>IF(VLOOKUP($B42,'Satınalma Takvimi Veri Girişi'!$B$4:$AC$146,17,FALSE)&lt;&gt;"",VLOOKUP($B42,'Satınalma Takvimi Veri Girişi'!$B$4:$AC$146,17,FALSE),"")</f>
        <v/>
      </c>
      <c r="AE42" s="141">
        <f>(VLOOKUP($B42,Şablon!$E$3:$Q$255,11,FALSE)+VLOOKUP($B42,Şablon!$E$3:$Q$255,12,FALSE))</f>
        <v>7</v>
      </c>
      <c r="AF42" s="142" t="str">
        <f t="shared" si="12"/>
        <v/>
      </c>
      <c r="AG42" s="143" t="str">
        <f t="shared" si="13"/>
        <v/>
      </c>
      <c r="AH42" s="144" t="str">
        <f>IF(VLOOKUP($B42,'Satınalma Takvimi Veri Girişi'!$B$4:$AC$146,19,FALSE)&lt;&gt;"",VLOOKUP($B42,'Satınalma Takvimi Veri Girişi'!$B$4:$AC$146,19,FALSE),"")</f>
        <v/>
      </c>
      <c r="AI42" s="145" t="str">
        <f>IF(VLOOKUP($B42,'Satınalma Takvimi Veri Girişi'!$B$4:$AC$146,20,FALSE)&lt;&gt;"",VLOOKUP($B42,'Satınalma Takvimi Veri Girişi'!$B$4:$AC$146,20,FALSE),"")</f>
        <v/>
      </c>
      <c r="AJ42" s="144" t="str">
        <f>IF(VLOOKUP($B42,'Satınalma Takvimi Veri Girişi'!$B$4:$AC$146,21,FALSE)&lt;&gt;"",VLOOKUP($B42,'Satınalma Takvimi Veri Girişi'!$B$4:$AC$146,21,FALSE),"")</f>
        <v/>
      </c>
      <c r="AK42" s="146" t="str">
        <f>IF(VLOOKUP($B42,'Satınalma Takvimi Veri Girişi'!$B$4:$AC$146,22,FALSE)&lt;&gt;"",VLOOKUP($B42,'Satınalma Takvimi Veri Girişi'!$B$4:$AC$146,22,FALSE),"")</f>
        <v/>
      </c>
      <c r="AL42" s="147" t="str">
        <f>IF(VLOOKUP($B42,'Satınalma Takvimi Veri Girişi'!$B$4:$AC$146,23,FALSE)&lt;&gt;"",VLOOKUP($B42,'Satınalma Takvimi Veri Girişi'!$B$4:$AC$146,23,FALSE),"")</f>
        <v/>
      </c>
      <c r="AM42" s="147" t="str">
        <f>IF(VLOOKUP($B42,'Satınalma Takvimi Veri Girişi'!$B$4:$AC$146,24,FALSE)&lt;&gt;"",VLOOKUP($B42,'Satınalma Takvimi Veri Girişi'!$B$4:$AC$146,24,FALSE),"")</f>
        <v/>
      </c>
      <c r="AN42" s="147" t="str">
        <f>IF(VLOOKUP($B42,'Satınalma Takvimi Veri Girişi'!$B$4:$AC$146,25,FALSE)&lt;&gt;"",VLOOKUP($B42,'Satınalma Takvimi Veri Girişi'!$B$4:$AC$146,25,FALSE),"")</f>
        <v/>
      </c>
      <c r="AO42" s="147" t="str">
        <f>IF(VLOOKUP($B42,'Satınalma Takvimi Veri Girişi'!$B$4:$AC$146,26,FALSE)&lt;&gt;"",VLOOKUP($B42,'Satınalma Takvimi Veri Girişi'!$B$4:$AC$146,26,FALSE),"")</f>
        <v/>
      </c>
      <c r="AP42" s="147" t="str">
        <f>IF(VLOOKUP($B42,'Satınalma Takvimi Veri Girişi'!$B$4:$AC$146,27,FALSE)&lt;&gt;"",VLOOKUP($B42,'Satınalma Takvimi Veri Girişi'!$B$4:$AC$146,27,FALSE),"")</f>
        <v/>
      </c>
      <c r="AQ42" s="148" t="str">
        <f>IF(VLOOKUP($B42,'Satınalma Takvimi Veri Girişi'!$B$4:$AC$146,28,FALSE)&lt;&gt;"",VLOOKUP($B42,'Satınalma Takvimi Veri Girişi'!$B$4:$AC$146,28,FALSE),"")</f>
        <v/>
      </c>
    </row>
    <row r="43" spans="2:43" ht="19.95" customHeight="1" x14ac:dyDescent="0.3">
      <c r="B43" s="64" t="str">
        <f>Şablon!E42</f>
        <v>IHL.3028.040/1</v>
      </c>
      <c r="C43" s="139" t="str">
        <f>VLOOKUP($B43,Şablon!$E$3:$Q$255,2,FALSE)</f>
        <v>15.14.03 (M) GÖMME REZERVUAR MALZEME TEMİNİ</v>
      </c>
      <c r="D43" s="161" t="str">
        <f>IF(VLOOKUP($B43,'Satınalma Takvimi Veri Girişi'!$B$4:$AC$146,3,FALSE)&lt;&gt;"",VLOOKUP($B43,'Satınalma Takvimi Veri Girişi'!$B$4:$AC$146,3,FALSE),"")</f>
        <v/>
      </c>
      <c r="E43" s="139" t="str">
        <f>VLOOKUP($B43,Şablon!$E$3:$Q$255,3,FALSE)</f>
        <v>B KATEGORİ</v>
      </c>
      <c r="F43" s="140" t="str">
        <f>VLOOKUP($B43,Şablon!$E$3:$Q$255,4,FALSE)</f>
        <v>İNŞ</v>
      </c>
      <c r="G43" s="141">
        <f>VLOOKUP($B43,Şablon!$E$3:$Q$255,5,FALSE)</f>
        <v>0</v>
      </c>
      <c r="H43" s="142" t="str">
        <f t="shared" si="0"/>
        <v/>
      </c>
      <c r="I43" s="143" t="str">
        <f t="shared" si="1"/>
        <v/>
      </c>
      <c r="J43" s="144" t="str">
        <f>IF(VLOOKUP($B43,'Satınalma Takvimi Veri Girişi'!$B$4:$AC$146,7,FALSE)&lt;&gt;"",VLOOKUP($B43,'Satınalma Takvimi Veri Girişi'!$B$4:$AC$146,7,FALSE),"")</f>
        <v/>
      </c>
      <c r="K43" s="141">
        <f>VLOOKUP($B43,Şablon!$E$3:$Q$255,6,FALSE)</f>
        <v>14</v>
      </c>
      <c r="L43" s="142" t="str">
        <f t="shared" si="2"/>
        <v/>
      </c>
      <c r="M43" s="143" t="str">
        <f t="shared" si="3"/>
        <v/>
      </c>
      <c r="N43" s="144" t="str">
        <f>IF(VLOOKUP($B43,'Satınalma Takvimi Veri Girişi'!$B$4:$AC$146,9,FALSE)&lt;&gt;"",VLOOKUP($B43,'Satınalma Takvimi Veri Girişi'!$B$4:$AC$146,9,FALSE),"")</f>
        <v/>
      </c>
      <c r="O43" s="141">
        <f>VLOOKUP($B43,Şablon!$E$3:$Q$255,7,FALSE)</f>
        <v>7</v>
      </c>
      <c r="P43" s="142" t="str">
        <f t="shared" si="4"/>
        <v/>
      </c>
      <c r="Q43" s="143" t="str">
        <f t="shared" si="5"/>
        <v/>
      </c>
      <c r="R43" s="144" t="str">
        <f>IF(VLOOKUP($B43,'Satınalma Takvimi Veri Girişi'!$B$4:$AC$146,11,FALSE)&lt;&gt;"",VLOOKUP($B43,'Satınalma Takvimi Veri Girişi'!$B$4:$AC$146,11,FALSE),"")</f>
        <v/>
      </c>
      <c r="S43" s="141">
        <f>VLOOKUP($B43,Şablon!$E$3:$Q$255,8,FALSE)</f>
        <v>14</v>
      </c>
      <c r="T43" s="142" t="str">
        <f t="shared" si="6"/>
        <v/>
      </c>
      <c r="U43" s="143" t="str">
        <f t="shared" si="7"/>
        <v/>
      </c>
      <c r="V43" s="144" t="str">
        <f>IF(VLOOKUP($B43,'Satınalma Takvimi Veri Girişi'!$B$4:$AC$146,13,FALSE)&lt;&gt;"",VLOOKUP($B43,'Satınalma Takvimi Veri Girişi'!$B$4:$AC$146,13,FALSE),"")</f>
        <v/>
      </c>
      <c r="W43" s="141">
        <f>VLOOKUP($B43,Şablon!$E$3:$Q$255,9,FALSE)</f>
        <v>7</v>
      </c>
      <c r="X43" s="142" t="str">
        <f t="shared" si="8"/>
        <v/>
      </c>
      <c r="Y43" s="143" t="str">
        <f t="shared" si="9"/>
        <v/>
      </c>
      <c r="Z43" s="144" t="str">
        <f>IF(VLOOKUP($B43,'Satınalma Takvimi Veri Girişi'!$B$4:$AC$146,15,FALSE)&lt;&gt;"",VLOOKUP($B43,'Satınalma Takvimi Veri Girişi'!$B$4:$AC$146,15,FALSE),"")</f>
        <v/>
      </c>
      <c r="AA43" s="141">
        <f>VLOOKUP($B43,Şablon!$E$3:$Q$255,10,FALSE)</f>
        <v>7</v>
      </c>
      <c r="AB43" s="142" t="str">
        <f t="shared" si="10"/>
        <v/>
      </c>
      <c r="AC43" s="143" t="str">
        <f t="shared" si="11"/>
        <v/>
      </c>
      <c r="AD43" s="144" t="str">
        <f>IF(VLOOKUP($B43,'Satınalma Takvimi Veri Girişi'!$B$4:$AC$146,17,FALSE)&lt;&gt;"",VLOOKUP($B43,'Satınalma Takvimi Veri Girişi'!$B$4:$AC$146,17,FALSE),"")</f>
        <v/>
      </c>
      <c r="AE43" s="141">
        <f>(VLOOKUP($B43,Şablon!$E$3:$Q$255,11,FALSE)+VLOOKUP($B43,Şablon!$E$3:$Q$255,12,FALSE))</f>
        <v>35</v>
      </c>
      <c r="AF43" s="142" t="str">
        <f t="shared" si="12"/>
        <v/>
      </c>
      <c r="AG43" s="143" t="str">
        <f t="shared" si="13"/>
        <v/>
      </c>
      <c r="AH43" s="144" t="str">
        <f>IF(VLOOKUP($B43,'Satınalma Takvimi Veri Girişi'!$B$4:$AC$146,19,FALSE)&lt;&gt;"",VLOOKUP($B43,'Satınalma Takvimi Veri Girişi'!$B$4:$AC$146,19,FALSE),"")</f>
        <v/>
      </c>
      <c r="AI43" s="145" t="str">
        <f>IF(VLOOKUP($B43,'Satınalma Takvimi Veri Girişi'!$B$4:$AC$146,20,FALSE)&lt;&gt;"",VLOOKUP($B43,'Satınalma Takvimi Veri Girişi'!$B$4:$AC$146,20,FALSE),"")</f>
        <v/>
      </c>
      <c r="AJ43" s="144" t="str">
        <f>IF(VLOOKUP($B43,'Satınalma Takvimi Veri Girişi'!$B$4:$AC$146,21,FALSE)&lt;&gt;"",VLOOKUP($B43,'Satınalma Takvimi Veri Girişi'!$B$4:$AC$146,21,FALSE),"")</f>
        <v/>
      </c>
      <c r="AK43" s="146" t="str">
        <f>IF(VLOOKUP($B43,'Satınalma Takvimi Veri Girişi'!$B$4:$AC$146,22,FALSE)&lt;&gt;"",VLOOKUP($B43,'Satınalma Takvimi Veri Girişi'!$B$4:$AC$146,22,FALSE),"")</f>
        <v/>
      </c>
      <c r="AL43" s="147" t="str">
        <f>IF(VLOOKUP($B43,'Satınalma Takvimi Veri Girişi'!$B$4:$AC$146,23,FALSE)&lt;&gt;"",VLOOKUP($B43,'Satınalma Takvimi Veri Girişi'!$B$4:$AC$146,23,FALSE),"")</f>
        <v/>
      </c>
      <c r="AM43" s="147" t="str">
        <f>IF(VLOOKUP($B43,'Satınalma Takvimi Veri Girişi'!$B$4:$AC$146,24,FALSE)&lt;&gt;"",VLOOKUP($B43,'Satınalma Takvimi Veri Girişi'!$B$4:$AC$146,24,FALSE),"")</f>
        <v/>
      </c>
      <c r="AN43" s="147" t="str">
        <f>IF(VLOOKUP($B43,'Satınalma Takvimi Veri Girişi'!$B$4:$AC$146,25,FALSE)&lt;&gt;"",VLOOKUP($B43,'Satınalma Takvimi Veri Girişi'!$B$4:$AC$146,25,FALSE),"")</f>
        <v/>
      </c>
      <c r="AO43" s="147" t="str">
        <f>IF(VLOOKUP($B43,'Satınalma Takvimi Veri Girişi'!$B$4:$AC$146,26,FALSE)&lt;&gt;"",VLOOKUP($B43,'Satınalma Takvimi Veri Girişi'!$B$4:$AC$146,26,FALSE),"")</f>
        <v/>
      </c>
      <c r="AP43" s="147" t="str">
        <f>IF(VLOOKUP($B43,'Satınalma Takvimi Veri Girişi'!$B$4:$AC$146,27,FALSE)&lt;&gt;"",VLOOKUP($B43,'Satınalma Takvimi Veri Girişi'!$B$4:$AC$146,27,FALSE),"")</f>
        <v/>
      </c>
      <c r="AQ43" s="148" t="str">
        <f>IF(VLOOKUP($B43,'Satınalma Takvimi Veri Girişi'!$B$4:$AC$146,28,FALSE)&lt;&gt;"",VLOOKUP($B43,'Satınalma Takvimi Veri Girişi'!$B$4:$AC$146,28,FALSE),"")</f>
        <v/>
      </c>
    </row>
    <row r="44" spans="2:43" ht="19.95" customHeight="1" x14ac:dyDescent="0.3">
      <c r="B44" s="64" t="str">
        <f>Şablon!E43</f>
        <v>IHL.3028.041/1</v>
      </c>
      <c r="C44" s="139" t="str">
        <f>VLOOKUP($B44,Şablon!$E$3:$Q$255,2,FALSE)</f>
        <v>15.06.00 (M) SERAMİK MALZEME</v>
      </c>
      <c r="D44" s="161" t="str">
        <f>IF(VLOOKUP($B44,'Satınalma Takvimi Veri Girişi'!$B$4:$AC$146,3,FALSE)&lt;&gt;"",VLOOKUP($B44,'Satınalma Takvimi Veri Girişi'!$B$4:$AC$146,3,FALSE),"")</f>
        <v/>
      </c>
      <c r="E44" s="139" t="str">
        <f>VLOOKUP($B44,Şablon!$E$3:$Q$255,3,FALSE)</f>
        <v>B KATEGORİ</v>
      </c>
      <c r="F44" s="140" t="str">
        <f>VLOOKUP($B44,Şablon!$E$3:$Q$255,4,FALSE)</f>
        <v>İNŞ</v>
      </c>
      <c r="G44" s="141">
        <f>VLOOKUP($B44,Şablon!$E$3:$Q$255,5,FALSE)</f>
        <v>0</v>
      </c>
      <c r="H44" s="142" t="str">
        <f t="shared" si="0"/>
        <v/>
      </c>
      <c r="I44" s="143" t="str">
        <f t="shared" si="1"/>
        <v/>
      </c>
      <c r="J44" s="144" t="str">
        <f>IF(VLOOKUP($B44,'Satınalma Takvimi Veri Girişi'!$B$4:$AC$146,7,FALSE)&lt;&gt;"",VLOOKUP($B44,'Satınalma Takvimi Veri Girişi'!$B$4:$AC$146,7,FALSE),"")</f>
        <v/>
      </c>
      <c r="K44" s="141">
        <f>VLOOKUP($B44,Şablon!$E$3:$Q$255,6,FALSE)</f>
        <v>14</v>
      </c>
      <c r="L44" s="142" t="str">
        <f t="shared" si="2"/>
        <v/>
      </c>
      <c r="M44" s="143" t="str">
        <f t="shared" si="3"/>
        <v/>
      </c>
      <c r="N44" s="144" t="str">
        <f>IF(VLOOKUP($B44,'Satınalma Takvimi Veri Girişi'!$B$4:$AC$146,9,FALSE)&lt;&gt;"",VLOOKUP($B44,'Satınalma Takvimi Veri Girişi'!$B$4:$AC$146,9,FALSE),"")</f>
        <v/>
      </c>
      <c r="O44" s="141">
        <f>VLOOKUP($B44,Şablon!$E$3:$Q$255,7,FALSE)</f>
        <v>14</v>
      </c>
      <c r="P44" s="142" t="str">
        <f t="shared" si="4"/>
        <v/>
      </c>
      <c r="Q44" s="143" t="str">
        <f t="shared" si="5"/>
        <v/>
      </c>
      <c r="R44" s="144" t="str">
        <f>IF(VLOOKUP($B44,'Satınalma Takvimi Veri Girişi'!$B$4:$AC$146,11,FALSE)&lt;&gt;"",VLOOKUP($B44,'Satınalma Takvimi Veri Girişi'!$B$4:$AC$146,11,FALSE),"")</f>
        <v/>
      </c>
      <c r="S44" s="141">
        <f>VLOOKUP($B44,Şablon!$E$3:$Q$255,8,FALSE)</f>
        <v>28</v>
      </c>
      <c r="T44" s="142" t="str">
        <f t="shared" si="6"/>
        <v/>
      </c>
      <c r="U44" s="143" t="str">
        <f t="shared" si="7"/>
        <v/>
      </c>
      <c r="V44" s="144" t="str">
        <f>IF(VLOOKUP($B44,'Satınalma Takvimi Veri Girişi'!$B$4:$AC$146,13,FALSE)&lt;&gt;"",VLOOKUP($B44,'Satınalma Takvimi Veri Girişi'!$B$4:$AC$146,13,FALSE),"")</f>
        <v/>
      </c>
      <c r="W44" s="141">
        <f>VLOOKUP($B44,Şablon!$E$3:$Q$255,9,FALSE)</f>
        <v>7</v>
      </c>
      <c r="X44" s="142" t="str">
        <f t="shared" si="8"/>
        <v/>
      </c>
      <c r="Y44" s="143" t="str">
        <f t="shared" si="9"/>
        <v/>
      </c>
      <c r="Z44" s="144" t="str">
        <f>IF(VLOOKUP($B44,'Satınalma Takvimi Veri Girişi'!$B$4:$AC$146,15,FALSE)&lt;&gt;"",VLOOKUP($B44,'Satınalma Takvimi Veri Girişi'!$B$4:$AC$146,15,FALSE),"")</f>
        <v/>
      </c>
      <c r="AA44" s="141">
        <f>VLOOKUP($B44,Şablon!$E$3:$Q$255,10,FALSE)</f>
        <v>7</v>
      </c>
      <c r="AB44" s="142" t="str">
        <f t="shared" si="10"/>
        <v/>
      </c>
      <c r="AC44" s="143" t="str">
        <f t="shared" si="11"/>
        <v/>
      </c>
      <c r="AD44" s="144" t="str">
        <f>IF(VLOOKUP($B44,'Satınalma Takvimi Veri Girişi'!$B$4:$AC$146,17,FALSE)&lt;&gt;"",VLOOKUP($B44,'Satınalma Takvimi Veri Girişi'!$B$4:$AC$146,17,FALSE),"")</f>
        <v/>
      </c>
      <c r="AE44" s="141">
        <f>(VLOOKUP($B44,Şablon!$E$3:$Q$255,11,FALSE)+VLOOKUP($B44,Şablon!$E$3:$Q$255,12,FALSE))</f>
        <v>67</v>
      </c>
      <c r="AF44" s="142" t="str">
        <f t="shared" si="12"/>
        <v/>
      </c>
      <c r="AG44" s="143" t="str">
        <f t="shared" si="13"/>
        <v/>
      </c>
      <c r="AH44" s="144" t="str">
        <f>IF(VLOOKUP($B44,'Satınalma Takvimi Veri Girişi'!$B$4:$AC$146,19,FALSE)&lt;&gt;"",VLOOKUP($B44,'Satınalma Takvimi Veri Girişi'!$B$4:$AC$146,19,FALSE),"")</f>
        <v/>
      </c>
      <c r="AI44" s="145" t="str">
        <f>IF(VLOOKUP($B44,'Satınalma Takvimi Veri Girişi'!$B$4:$AC$146,20,FALSE)&lt;&gt;"",VLOOKUP($B44,'Satınalma Takvimi Veri Girişi'!$B$4:$AC$146,20,FALSE),"")</f>
        <v/>
      </c>
      <c r="AJ44" s="144" t="str">
        <f>IF(VLOOKUP($B44,'Satınalma Takvimi Veri Girişi'!$B$4:$AC$146,21,FALSE)&lt;&gt;"",VLOOKUP($B44,'Satınalma Takvimi Veri Girişi'!$B$4:$AC$146,21,FALSE),"")</f>
        <v/>
      </c>
      <c r="AK44" s="146" t="str">
        <f>IF(VLOOKUP($B44,'Satınalma Takvimi Veri Girişi'!$B$4:$AC$146,22,FALSE)&lt;&gt;"",VLOOKUP($B44,'Satınalma Takvimi Veri Girişi'!$B$4:$AC$146,22,FALSE),"")</f>
        <v/>
      </c>
      <c r="AL44" s="147" t="str">
        <f>IF(VLOOKUP($B44,'Satınalma Takvimi Veri Girişi'!$B$4:$AC$146,23,FALSE)&lt;&gt;"",VLOOKUP($B44,'Satınalma Takvimi Veri Girişi'!$B$4:$AC$146,23,FALSE),"")</f>
        <v/>
      </c>
      <c r="AM44" s="147" t="str">
        <f>IF(VLOOKUP($B44,'Satınalma Takvimi Veri Girişi'!$B$4:$AC$146,24,FALSE)&lt;&gt;"",VLOOKUP($B44,'Satınalma Takvimi Veri Girişi'!$B$4:$AC$146,24,FALSE),"")</f>
        <v/>
      </c>
      <c r="AN44" s="147" t="str">
        <f>IF(VLOOKUP($B44,'Satınalma Takvimi Veri Girişi'!$B$4:$AC$146,25,FALSE)&lt;&gt;"",VLOOKUP($B44,'Satınalma Takvimi Veri Girişi'!$B$4:$AC$146,25,FALSE),"")</f>
        <v/>
      </c>
      <c r="AO44" s="147" t="str">
        <f>IF(VLOOKUP($B44,'Satınalma Takvimi Veri Girişi'!$B$4:$AC$146,26,FALSE)&lt;&gt;"",VLOOKUP($B44,'Satınalma Takvimi Veri Girişi'!$B$4:$AC$146,26,FALSE),"")</f>
        <v/>
      </c>
      <c r="AP44" s="147" t="str">
        <f>IF(VLOOKUP($B44,'Satınalma Takvimi Veri Girişi'!$B$4:$AC$146,27,FALSE)&lt;&gt;"",VLOOKUP($B44,'Satınalma Takvimi Veri Girişi'!$B$4:$AC$146,27,FALSE),"")</f>
        <v/>
      </c>
      <c r="AQ44" s="148" t="str">
        <f>IF(VLOOKUP($B44,'Satınalma Takvimi Veri Girişi'!$B$4:$AC$146,28,FALSE)&lt;&gt;"",VLOOKUP($B44,'Satınalma Takvimi Veri Girişi'!$B$4:$AC$146,28,FALSE),"")</f>
        <v/>
      </c>
    </row>
    <row r="45" spans="2:43" ht="19.95" customHeight="1" x14ac:dyDescent="0.3">
      <c r="B45" s="64" t="str">
        <f>Şablon!E44</f>
        <v>IHL.3028.041/2</v>
      </c>
      <c r="C45" s="139" t="str">
        <f>VLOOKUP($B45,Şablon!$E$3:$Q$255,2,FALSE)</f>
        <v>15.06.00 (M) SERAMİK MALZEME</v>
      </c>
      <c r="D45" s="161" t="str">
        <f>IF(VLOOKUP($B45,'Satınalma Takvimi Veri Girişi'!$B$4:$AC$146,3,FALSE)&lt;&gt;"",VLOOKUP($B45,'Satınalma Takvimi Veri Girişi'!$B$4:$AC$146,3,FALSE),"")</f>
        <v/>
      </c>
      <c r="E45" s="139" t="str">
        <f>VLOOKUP($B45,Şablon!$E$3:$Q$255,3,FALSE)</f>
        <v>B KATEGORİ</v>
      </c>
      <c r="F45" s="140" t="str">
        <f>VLOOKUP($B45,Şablon!$E$3:$Q$255,4,FALSE)</f>
        <v>İNŞ</v>
      </c>
      <c r="G45" s="141">
        <f>VLOOKUP($B45,Şablon!$E$3:$Q$255,5,FALSE)</f>
        <v>0</v>
      </c>
      <c r="H45" s="142" t="str">
        <f t="shared" si="0"/>
        <v/>
      </c>
      <c r="I45" s="143" t="str">
        <f t="shared" si="1"/>
        <v/>
      </c>
      <c r="J45" s="144" t="str">
        <f>IF(VLOOKUP($B45,'Satınalma Takvimi Veri Girişi'!$B$4:$AC$146,7,FALSE)&lt;&gt;"",VLOOKUP($B45,'Satınalma Takvimi Veri Girişi'!$B$4:$AC$146,7,FALSE),"")</f>
        <v/>
      </c>
      <c r="K45" s="141">
        <f>VLOOKUP($B45,Şablon!$E$3:$Q$255,6,FALSE)</f>
        <v>14</v>
      </c>
      <c r="L45" s="142" t="str">
        <f t="shared" si="2"/>
        <v/>
      </c>
      <c r="M45" s="143" t="str">
        <f t="shared" si="3"/>
        <v/>
      </c>
      <c r="N45" s="144" t="str">
        <f>IF(VLOOKUP($B45,'Satınalma Takvimi Veri Girişi'!$B$4:$AC$146,9,FALSE)&lt;&gt;"",VLOOKUP($B45,'Satınalma Takvimi Veri Girişi'!$B$4:$AC$146,9,FALSE),"")</f>
        <v/>
      </c>
      <c r="O45" s="141">
        <f>VLOOKUP($B45,Şablon!$E$3:$Q$255,7,FALSE)</f>
        <v>14</v>
      </c>
      <c r="P45" s="142" t="str">
        <f t="shared" si="4"/>
        <v/>
      </c>
      <c r="Q45" s="143" t="str">
        <f t="shared" si="5"/>
        <v/>
      </c>
      <c r="R45" s="144" t="str">
        <f>IF(VLOOKUP($B45,'Satınalma Takvimi Veri Girişi'!$B$4:$AC$146,11,FALSE)&lt;&gt;"",VLOOKUP($B45,'Satınalma Takvimi Veri Girişi'!$B$4:$AC$146,11,FALSE),"")</f>
        <v/>
      </c>
      <c r="S45" s="141">
        <f>VLOOKUP($B45,Şablon!$E$3:$Q$255,8,FALSE)</f>
        <v>28</v>
      </c>
      <c r="T45" s="142" t="str">
        <f t="shared" si="6"/>
        <v/>
      </c>
      <c r="U45" s="143" t="str">
        <f t="shared" si="7"/>
        <v/>
      </c>
      <c r="V45" s="144" t="str">
        <f>IF(VLOOKUP($B45,'Satınalma Takvimi Veri Girişi'!$B$4:$AC$146,13,FALSE)&lt;&gt;"",VLOOKUP($B45,'Satınalma Takvimi Veri Girişi'!$B$4:$AC$146,13,FALSE),"")</f>
        <v/>
      </c>
      <c r="W45" s="141">
        <f>VLOOKUP($B45,Şablon!$E$3:$Q$255,9,FALSE)</f>
        <v>7</v>
      </c>
      <c r="X45" s="142" t="str">
        <f t="shared" si="8"/>
        <v/>
      </c>
      <c r="Y45" s="143" t="str">
        <f t="shared" si="9"/>
        <v/>
      </c>
      <c r="Z45" s="144" t="str">
        <f>IF(VLOOKUP($B45,'Satınalma Takvimi Veri Girişi'!$B$4:$AC$146,15,FALSE)&lt;&gt;"",VLOOKUP($B45,'Satınalma Takvimi Veri Girişi'!$B$4:$AC$146,15,FALSE),"")</f>
        <v/>
      </c>
      <c r="AA45" s="141">
        <f>VLOOKUP($B45,Şablon!$E$3:$Q$255,10,FALSE)</f>
        <v>7</v>
      </c>
      <c r="AB45" s="142" t="str">
        <f t="shared" si="10"/>
        <v/>
      </c>
      <c r="AC45" s="143" t="str">
        <f t="shared" si="11"/>
        <v/>
      </c>
      <c r="AD45" s="144" t="str">
        <f>IF(VLOOKUP($B45,'Satınalma Takvimi Veri Girişi'!$B$4:$AC$146,17,FALSE)&lt;&gt;"",VLOOKUP($B45,'Satınalma Takvimi Veri Girişi'!$B$4:$AC$146,17,FALSE),"")</f>
        <v/>
      </c>
      <c r="AE45" s="141">
        <f>(VLOOKUP($B45,Şablon!$E$3:$Q$255,11,FALSE)+VLOOKUP($B45,Şablon!$E$3:$Q$255,12,FALSE))</f>
        <v>67</v>
      </c>
      <c r="AF45" s="142" t="str">
        <f t="shared" si="12"/>
        <v/>
      </c>
      <c r="AG45" s="143" t="str">
        <f t="shared" si="13"/>
        <v/>
      </c>
      <c r="AH45" s="144" t="str">
        <f>IF(VLOOKUP($B45,'Satınalma Takvimi Veri Girişi'!$B$4:$AC$146,19,FALSE)&lt;&gt;"",VLOOKUP($B45,'Satınalma Takvimi Veri Girişi'!$B$4:$AC$146,19,FALSE),"")</f>
        <v/>
      </c>
      <c r="AI45" s="145" t="str">
        <f>IF(VLOOKUP($B45,'Satınalma Takvimi Veri Girişi'!$B$4:$AC$146,20,FALSE)&lt;&gt;"",VLOOKUP($B45,'Satınalma Takvimi Veri Girişi'!$B$4:$AC$146,20,FALSE),"")</f>
        <v/>
      </c>
      <c r="AJ45" s="144" t="str">
        <f>IF(VLOOKUP($B45,'Satınalma Takvimi Veri Girişi'!$B$4:$AC$146,21,FALSE)&lt;&gt;"",VLOOKUP($B45,'Satınalma Takvimi Veri Girişi'!$B$4:$AC$146,21,FALSE),"")</f>
        <v/>
      </c>
      <c r="AK45" s="146" t="str">
        <f>IF(VLOOKUP($B45,'Satınalma Takvimi Veri Girişi'!$B$4:$AC$146,22,FALSE)&lt;&gt;"",VLOOKUP($B45,'Satınalma Takvimi Veri Girişi'!$B$4:$AC$146,22,FALSE),"")</f>
        <v/>
      </c>
      <c r="AL45" s="147" t="str">
        <f>IF(VLOOKUP($B45,'Satınalma Takvimi Veri Girişi'!$B$4:$AC$146,23,FALSE)&lt;&gt;"",VLOOKUP($B45,'Satınalma Takvimi Veri Girişi'!$B$4:$AC$146,23,FALSE),"")</f>
        <v/>
      </c>
      <c r="AM45" s="147" t="str">
        <f>IF(VLOOKUP($B45,'Satınalma Takvimi Veri Girişi'!$B$4:$AC$146,24,FALSE)&lt;&gt;"",VLOOKUP($B45,'Satınalma Takvimi Veri Girişi'!$B$4:$AC$146,24,FALSE),"")</f>
        <v/>
      </c>
      <c r="AN45" s="147" t="str">
        <f>IF(VLOOKUP($B45,'Satınalma Takvimi Veri Girişi'!$B$4:$AC$146,25,FALSE)&lt;&gt;"",VLOOKUP($B45,'Satınalma Takvimi Veri Girişi'!$B$4:$AC$146,25,FALSE),"")</f>
        <v/>
      </c>
      <c r="AO45" s="147" t="str">
        <f>IF(VLOOKUP($B45,'Satınalma Takvimi Veri Girişi'!$B$4:$AC$146,26,FALSE)&lt;&gt;"",VLOOKUP($B45,'Satınalma Takvimi Veri Girişi'!$B$4:$AC$146,26,FALSE),"")</f>
        <v/>
      </c>
      <c r="AP45" s="147" t="str">
        <f>IF(VLOOKUP($B45,'Satınalma Takvimi Veri Girişi'!$B$4:$AC$146,27,FALSE)&lt;&gt;"",VLOOKUP($B45,'Satınalma Takvimi Veri Girişi'!$B$4:$AC$146,27,FALSE),"")</f>
        <v/>
      </c>
      <c r="AQ45" s="148" t="str">
        <f>IF(VLOOKUP($B45,'Satınalma Takvimi Veri Girişi'!$B$4:$AC$146,28,FALSE)&lt;&gt;"",VLOOKUP($B45,'Satınalma Takvimi Veri Girişi'!$B$4:$AC$146,28,FALSE),"")</f>
        <v/>
      </c>
    </row>
    <row r="46" spans="2:43" ht="19.95" customHeight="1" x14ac:dyDescent="0.3">
      <c r="B46" s="64" t="str">
        <f>Şablon!E45</f>
        <v>IHL.3028.041/3</v>
      </c>
      <c r="C46" s="139" t="str">
        <f>VLOOKUP($B46,Şablon!$E$3:$Q$255,2,FALSE)</f>
        <v>15.06.00 (M) SERAMİK MALZEME</v>
      </c>
      <c r="D46" s="161" t="str">
        <f>IF(VLOOKUP($B46,'Satınalma Takvimi Veri Girişi'!$B$4:$AC$146,3,FALSE)&lt;&gt;"",VLOOKUP($B46,'Satınalma Takvimi Veri Girişi'!$B$4:$AC$146,3,FALSE),"")</f>
        <v/>
      </c>
      <c r="E46" s="139" t="str">
        <f>VLOOKUP($B46,Şablon!$E$3:$Q$255,3,FALSE)</f>
        <v>B KATEGORİ</v>
      </c>
      <c r="F46" s="140" t="str">
        <f>VLOOKUP($B46,Şablon!$E$3:$Q$255,4,FALSE)</f>
        <v>İNŞ</v>
      </c>
      <c r="G46" s="141">
        <f>VLOOKUP($B46,Şablon!$E$3:$Q$255,5,FALSE)</f>
        <v>0</v>
      </c>
      <c r="H46" s="142" t="str">
        <f t="shared" si="0"/>
        <v/>
      </c>
      <c r="I46" s="143" t="str">
        <f t="shared" si="1"/>
        <v/>
      </c>
      <c r="J46" s="144" t="str">
        <f>IF(VLOOKUP($B46,'Satınalma Takvimi Veri Girişi'!$B$4:$AC$146,7,FALSE)&lt;&gt;"",VLOOKUP($B46,'Satınalma Takvimi Veri Girişi'!$B$4:$AC$146,7,FALSE),"")</f>
        <v/>
      </c>
      <c r="K46" s="141">
        <f>VLOOKUP($B46,Şablon!$E$3:$Q$255,6,FALSE)</f>
        <v>14</v>
      </c>
      <c r="L46" s="142" t="str">
        <f t="shared" si="2"/>
        <v/>
      </c>
      <c r="M46" s="143" t="str">
        <f t="shared" si="3"/>
        <v/>
      </c>
      <c r="N46" s="144" t="str">
        <f>IF(VLOOKUP($B46,'Satınalma Takvimi Veri Girişi'!$B$4:$AC$146,9,FALSE)&lt;&gt;"",VLOOKUP($B46,'Satınalma Takvimi Veri Girişi'!$B$4:$AC$146,9,FALSE),"")</f>
        <v/>
      </c>
      <c r="O46" s="141">
        <f>VLOOKUP($B46,Şablon!$E$3:$Q$255,7,FALSE)</f>
        <v>14</v>
      </c>
      <c r="P46" s="142" t="str">
        <f t="shared" si="4"/>
        <v/>
      </c>
      <c r="Q46" s="143" t="str">
        <f t="shared" si="5"/>
        <v/>
      </c>
      <c r="R46" s="144" t="str">
        <f>IF(VLOOKUP($B46,'Satınalma Takvimi Veri Girişi'!$B$4:$AC$146,11,FALSE)&lt;&gt;"",VLOOKUP($B46,'Satınalma Takvimi Veri Girişi'!$B$4:$AC$146,11,FALSE),"")</f>
        <v/>
      </c>
      <c r="S46" s="141">
        <f>VLOOKUP($B46,Şablon!$E$3:$Q$255,8,FALSE)</f>
        <v>28</v>
      </c>
      <c r="T46" s="142" t="str">
        <f t="shared" si="6"/>
        <v/>
      </c>
      <c r="U46" s="143" t="str">
        <f t="shared" si="7"/>
        <v/>
      </c>
      <c r="V46" s="144" t="str">
        <f>IF(VLOOKUP($B46,'Satınalma Takvimi Veri Girişi'!$B$4:$AC$146,13,FALSE)&lt;&gt;"",VLOOKUP($B46,'Satınalma Takvimi Veri Girişi'!$B$4:$AC$146,13,FALSE),"")</f>
        <v/>
      </c>
      <c r="W46" s="141">
        <f>VLOOKUP($B46,Şablon!$E$3:$Q$255,9,FALSE)</f>
        <v>7</v>
      </c>
      <c r="X46" s="142" t="str">
        <f t="shared" si="8"/>
        <v/>
      </c>
      <c r="Y46" s="143" t="str">
        <f t="shared" si="9"/>
        <v/>
      </c>
      <c r="Z46" s="144" t="str">
        <f>IF(VLOOKUP($B46,'Satınalma Takvimi Veri Girişi'!$B$4:$AC$146,15,FALSE)&lt;&gt;"",VLOOKUP($B46,'Satınalma Takvimi Veri Girişi'!$B$4:$AC$146,15,FALSE),"")</f>
        <v/>
      </c>
      <c r="AA46" s="141">
        <f>VLOOKUP($B46,Şablon!$E$3:$Q$255,10,FALSE)</f>
        <v>7</v>
      </c>
      <c r="AB46" s="142" t="str">
        <f t="shared" si="10"/>
        <v/>
      </c>
      <c r="AC46" s="143" t="str">
        <f t="shared" si="11"/>
        <v/>
      </c>
      <c r="AD46" s="144" t="str">
        <f>IF(VLOOKUP($B46,'Satınalma Takvimi Veri Girişi'!$B$4:$AC$146,17,FALSE)&lt;&gt;"",VLOOKUP($B46,'Satınalma Takvimi Veri Girişi'!$B$4:$AC$146,17,FALSE),"")</f>
        <v/>
      </c>
      <c r="AE46" s="141">
        <f>(VLOOKUP($B46,Şablon!$E$3:$Q$255,11,FALSE)+VLOOKUP($B46,Şablon!$E$3:$Q$255,12,FALSE))</f>
        <v>67</v>
      </c>
      <c r="AF46" s="142" t="str">
        <f t="shared" si="12"/>
        <v/>
      </c>
      <c r="AG46" s="143" t="str">
        <f t="shared" si="13"/>
        <v/>
      </c>
      <c r="AH46" s="144" t="str">
        <f>IF(VLOOKUP($B46,'Satınalma Takvimi Veri Girişi'!$B$4:$AC$146,19,FALSE)&lt;&gt;"",VLOOKUP($B46,'Satınalma Takvimi Veri Girişi'!$B$4:$AC$146,19,FALSE),"")</f>
        <v/>
      </c>
      <c r="AI46" s="145" t="str">
        <f>IF(VLOOKUP($B46,'Satınalma Takvimi Veri Girişi'!$B$4:$AC$146,20,FALSE)&lt;&gt;"",VLOOKUP($B46,'Satınalma Takvimi Veri Girişi'!$B$4:$AC$146,20,FALSE),"")</f>
        <v/>
      </c>
      <c r="AJ46" s="144" t="str">
        <f>IF(VLOOKUP($B46,'Satınalma Takvimi Veri Girişi'!$B$4:$AC$146,21,FALSE)&lt;&gt;"",VLOOKUP($B46,'Satınalma Takvimi Veri Girişi'!$B$4:$AC$146,21,FALSE),"")</f>
        <v/>
      </c>
      <c r="AK46" s="146" t="str">
        <f>IF(VLOOKUP($B46,'Satınalma Takvimi Veri Girişi'!$B$4:$AC$146,22,FALSE)&lt;&gt;"",VLOOKUP($B46,'Satınalma Takvimi Veri Girişi'!$B$4:$AC$146,22,FALSE),"")</f>
        <v/>
      </c>
      <c r="AL46" s="147" t="str">
        <f>IF(VLOOKUP($B46,'Satınalma Takvimi Veri Girişi'!$B$4:$AC$146,23,FALSE)&lt;&gt;"",VLOOKUP($B46,'Satınalma Takvimi Veri Girişi'!$B$4:$AC$146,23,FALSE),"")</f>
        <v/>
      </c>
      <c r="AM46" s="147" t="str">
        <f>IF(VLOOKUP($B46,'Satınalma Takvimi Veri Girişi'!$B$4:$AC$146,24,FALSE)&lt;&gt;"",VLOOKUP($B46,'Satınalma Takvimi Veri Girişi'!$B$4:$AC$146,24,FALSE),"")</f>
        <v/>
      </c>
      <c r="AN46" s="147" t="str">
        <f>IF(VLOOKUP($B46,'Satınalma Takvimi Veri Girişi'!$B$4:$AC$146,25,FALSE)&lt;&gt;"",VLOOKUP($B46,'Satınalma Takvimi Veri Girişi'!$B$4:$AC$146,25,FALSE),"")</f>
        <v/>
      </c>
      <c r="AO46" s="147" t="str">
        <f>IF(VLOOKUP($B46,'Satınalma Takvimi Veri Girişi'!$B$4:$AC$146,26,FALSE)&lt;&gt;"",VLOOKUP($B46,'Satınalma Takvimi Veri Girişi'!$B$4:$AC$146,26,FALSE),"")</f>
        <v/>
      </c>
      <c r="AP46" s="147" t="str">
        <f>IF(VLOOKUP($B46,'Satınalma Takvimi Veri Girişi'!$B$4:$AC$146,27,FALSE)&lt;&gt;"",VLOOKUP($B46,'Satınalma Takvimi Veri Girişi'!$B$4:$AC$146,27,FALSE),"")</f>
        <v/>
      </c>
      <c r="AQ46" s="148" t="str">
        <f>IF(VLOOKUP($B46,'Satınalma Takvimi Veri Girişi'!$B$4:$AC$146,28,FALSE)&lt;&gt;"",VLOOKUP($B46,'Satınalma Takvimi Veri Girişi'!$B$4:$AC$146,28,FALSE),"")</f>
        <v/>
      </c>
    </row>
    <row r="47" spans="2:43" ht="19.95" customHeight="1" x14ac:dyDescent="0.3">
      <c r="B47" s="64" t="str">
        <f>Şablon!E46</f>
        <v>IHL.3028.041/4</v>
      </c>
      <c r="C47" s="139" t="str">
        <f>VLOOKUP($B47,Şablon!$E$3:$Q$255,2,FALSE)</f>
        <v>15.06.00 (M) SERAMİK MALZEME</v>
      </c>
      <c r="D47" s="161" t="str">
        <f>IF(VLOOKUP($B47,'Satınalma Takvimi Veri Girişi'!$B$4:$AC$146,3,FALSE)&lt;&gt;"",VLOOKUP($B47,'Satınalma Takvimi Veri Girişi'!$B$4:$AC$146,3,FALSE),"")</f>
        <v/>
      </c>
      <c r="E47" s="139" t="str">
        <f>VLOOKUP($B47,Şablon!$E$3:$Q$255,3,FALSE)</f>
        <v>B KATEGORİ</v>
      </c>
      <c r="F47" s="140" t="str">
        <f>VLOOKUP($B47,Şablon!$E$3:$Q$255,4,FALSE)</f>
        <v>İNŞ</v>
      </c>
      <c r="G47" s="141">
        <f>VLOOKUP($B47,Şablon!$E$3:$Q$255,5,FALSE)</f>
        <v>0</v>
      </c>
      <c r="H47" s="142" t="str">
        <f t="shared" si="0"/>
        <v/>
      </c>
      <c r="I47" s="143" t="str">
        <f t="shared" si="1"/>
        <v/>
      </c>
      <c r="J47" s="144" t="str">
        <f>IF(VLOOKUP($B47,'Satınalma Takvimi Veri Girişi'!$B$4:$AC$146,7,FALSE)&lt;&gt;"",VLOOKUP($B47,'Satınalma Takvimi Veri Girişi'!$B$4:$AC$146,7,FALSE),"")</f>
        <v/>
      </c>
      <c r="K47" s="141">
        <f>VLOOKUP($B47,Şablon!$E$3:$Q$255,6,FALSE)</f>
        <v>14</v>
      </c>
      <c r="L47" s="142" t="str">
        <f t="shared" si="2"/>
        <v/>
      </c>
      <c r="M47" s="143" t="str">
        <f t="shared" si="3"/>
        <v/>
      </c>
      <c r="N47" s="144" t="str">
        <f>IF(VLOOKUP($B47,'Satınalma Takvimi Veri Girişi'!$B$4:$AC$146,9,FALSE)&lt;&gt;"",VLOOKUP($B47,'Satınalma Takvimi Veri Girişi'!$B$4:$AC$146,9,FALSE),"")</f>
        <v/>
      </c>
      <c r="O47" s="141">
        <f>VLOOKUP($B47,Şablon!$E$3:$Q$255,7,FALSE)</f>
        <v>14</v>
      </c>
      <c r="P47" s="142" t="str">
        <f t="shared" si="4"/>
        <v/>
      </c>
      <c r="Q47" s="143" t="str">
        <f t="shared" si="5"/>
        <v/>
      </c>
      <c r="R47" s="144" t="str">
        <f>IF(VLOOKUP($B47,'Satınalma Takvimi Veri Girişi'!$B$4:$AC$146,11,FALSE)&lt;&gt;"",VLOOKUP($B47,'Satınalma Takvimi Veri Girişi'!$B$4:$AC$146,11,FALSE),"")</f>
        <v/>
      </c>
      <c r="S47" s="141">
        <f>VLOOKUP($B47,Şablon!$E$3:$Q$255,8,FALSE)</f>
        <v>28</v>
      </c>
      <c r="T47" s="142" t="str">
        <f t="shared" si="6"/>
        <v/>
      </c>
      <c r="U47" s="143" t="str">
        <f t="shared" si="7"/>
        <v/>
      </c>
      <c r="V47" s="144" t="str">
        <f>IF(VLOOKUP($B47,'Satınalma Takvimi Veri Girişi'!$B$4:$AC$146,13,FALSE)&lt;&gt;"",VLOOKUP($B47,'Satınalma Takvimi Veri Girişi'!$B$4:$AC$146,13,FALSE),"")</f>
        <v/>
      </c>
      <c r="W47" s="141">
        <f>VLOOKUP($B47,Şablon!$E$3:$Q$255,9,FALSE)</f>
        <v>7</v>
      </c>
      <c r="X47" s="142" t="str">
        <f t="shared" si="8"/>
        <v/>
      </c>
      <c r="Y47" s="143" t="str">
        <f t="shared" si="9"/>
        <v/>
      </c>
      <c r="Z47" s="144" t="str">
        <f>IF(VLOOKUP($B47,'Satınalma Takvimi Veri Girişi'!$B$4:$AC$146,15,FALSE)&lt;&gt;"",VLOOKUP($B47,'Satınalma Takvimi Veri Girişi'!$B$4:$AC$146,15,FALSE),"")</f>
        <v/>
      </c>
      <c r="AA47" s="141">
        <f>VLOOKUP($B47,Şablon!$E$3:$Q$255,10,FALSE)</f>
        <v>7</v>
      </c>
      <c r="AB47" s="142" t="str">
        <f t="shared" si="10"/>
        <v/>
      </c>
      <c r="AC47" s="143" t="str">
        <f t="shared" si="11"/>
        <v/>
      </c>
      <c r="AD47" s="144" t="str">
        <f>IF(VLOOKUP($B47,'Satınalma Takvimi Veri Girişi'!$B$4:$AC$146,17,FALSE)&lt;&gt;"",VLOOKUP($B47,'Satınalma Takvimi Veri Girişi'!$B$4:$AC$146,17,FALSE),"")</f>
        <v/>
      </c>
      <c r="AE47" s="141">
        <f>(VLOOKUP($B47,Şablon!$E$3:$Q$255,11,FALSE)+VLOOKUP($B47,Şablon!$E$3:$Q$255,12,FALSE))</f>
        <v>67</v>
      </c>
      <c r="AF47" s="142" t="str">
        <f t="shared" si="12"/>
        <v/>
      </c>
      <c r="AG47" s="143" t="str">
        <f t="shared" si="13"/>
        <v/>
      </c>
      <c r="AH47" s="144" t="str">
        <f>IF(VLOOKUP($B47,'Satınalma Takvimi Veri Girişi'!$B$4:$AC$146,19,FALSE)&lt;&gt;"",VLOOKUP($B47,'Satınalma Takvimi Veri Girişi'!$B$4:$AC$146,19,FALSE),"")</f>
        <v/>
      </c>
      <c r="AI47" s="145" t="str">
        <f>IF(VLOOKUP($B47,'Satınalma Takvimi Veri Girişi'!$B$4:$AC$146,20,FALSE)&lt;&gt;"",VLOOKUP($B47,'Satınalma Takvimi Veri Girişi'!$B$4:$AC$146,20,FALSE),"")</f>
        <v/>
      </c>
      <c r="AJ47" s="144" t="str">
        <f>IF(VLOOKUP($B47,'Satınalma Takvimi Veri Girişi'!$B$4:$AC$146,21,FALSE)&lt;&gt;"",VLOOKUP($B47,'Satınalma Takvimi Veri Girişi'!$B$4:$AC$146,21,FALSE),"")</f>
        <v/>
      </c>
      <c r="AK47" s="146" t="str">
        <f>IF(VLOOKUP($B47,'Satınalma Takvimi Veri Girişi'!$B$4:$AC$146,22,FALSE)&lt;&gt;"",VLOOKUP($B47,'Satınalma Takvimi Veri Girişi'!$B$4:$AC$146,22,FALSE),"")</f>
        <v/>
      </c>
      <c r="AL47" s="147" t="str">
        <f>IF(VLOOKUP($B47,'Satınalma Takvimi Veri Girişi'!$B$4:$AC$146,23,FALSE)&lt;&gt;"",VLOOKUP($B47,'Satınalma Takvimi Veri Girişi'!$B$4:$AC$146,23,FALSE),"")</f>
        <v/>
      </c>
      <c r="AM47" s="147" t="str">
        <f>IF(VLOOKUP($B47,'Satınalma Takvimi Veri Girişi'!$B$4:$AC$146,24,FALSE)&lt;&gt;"",VLOOKUP($B47,'Satınalma Takvimi Veri Girişi'!$B$4:$AC$146,24,FALSE),"")</f>
        <v/>
      </c>
      <c r="AN47" s="147" t="str">
        <f>IF(VLOOKUP($B47,'Satınalma Takvimi Veri Girişi'!$B$4:$AC$146,25,FALSE)&lt;&gt;"",VLOOKUP($B47,'Satınalma Takvimi Veri Girişi'!$B$4:$AC$146,25,FALSE),"")</f>
        <v/>
      </c>
      <c r="AO47" s="147" t="str">
        <f>IF(VLOOKUP($B47,'Satınalma Takvimi Veri Girişi'!$B$4:$AC$146,26,FALSE)&lt;&gt;"",VLOOKUP($B47,'Satınalma Takvimi Veri Girişi'!$B$4:$AC$146,26,FALSE),"")</f>
        <v/>
      </c>
      <c r="AP47" s="147" t="str">
        <f>IF(VLOOKUP($B47,'Satınalma Takvimi Veri Girişi'!$B$4:$AC$146,27,FALSE)&lt;&gt;"",VLOOKUP($B47,'Satınalma Takvimi Veri Girişi'!$B$4:$AC$146,27,FALSE),"")</f>
        <v/>
      </c>
      <c r="AQ47" s="148" t="str">
        <f>IF(VLOOKUP($B47,'Satınalma Takvimi Veri Girişi'!$B$4:$AC$146,28,FALSE)&lt;&gt;"",VLOOKUP($B47,'Satınalma Takvimi Veri Girişi'!$B$4:$AC$146,28,FALSE),"")</f>
        <v/>
      </c>
    </row>
    <row r="48" spans="2:43" ht="19.95" customHeight="1" x14ac:dyDescent="0.3">
      <c r="B48" s="64" t="str">
        <f>Şablon!E47</f>
        <v>IHL.3028.042/1</v>
      </c>
      <c r="C48" s="139" t="str">
        <f>VLOOKUP($B48,Şablon!$E$3:$Q$255,2,FALSE)</f>
        <v>15.02.00 ALÇI LEVHA, SIVA &amp; BOYA İŞLERİ</v>
      </c>
      <c r="D48" s="161" t="str">
        <f>IF(VLOOKUP($B48,'Satınalma Takvimi Veri Girişi'!$B$4:$AC$146,3,FALSE)&lt;&gt;"",VLOOKUP($B48,'Satınalma Takvimi Veri Girişi'!$B$4:$AC$146,3,FALSE),"")</f>
        <v/>
      </c>
      <c r="E48" s="139" t="str">
        <f>VLOOKUP($B48,Şablon!$E$3:$Q$255,3,FALSE)</f>
        <v>A KATEGORİ</v>
      </c>
      <c r="F48" s="140" t="str">
        <f>VLOOKUP($B48,Şablon!$E$3:$Q$255,4,FALSE)</f>
        <v>İNŞ</v>
      </c>
      <c r="G48" s="141">
        <f>VLOOKUP($B48,Şablon!$E$3:$Q$255,5,FALSE)</f>
        <v>0</v>
      </c>
      <c r="H48" s="142" t="str">
        <f t="shared" si="0"/>
        <v/>
      </c>
      <c r="I48" s="143" t="str">
        <f t="shared" si="1"/>
        <v/>
      </c>
      <c r="J48" s="144" t="str">
        <f>IF(VLOOKUP($B48,'Satınalma Takvimi Veri Girişi'!$B$4:$AC$146,7,FALSE)&lt;&gt;"",VLOOKUP($B48,'Satınalma Takvimi Veri Girişi'!$B$4:$AC$146,7,FALSE),"")</f>
        <v/>
      </c>
      <c r="K48" s="141">
        <f>VLOOKUP($B48,Şablon!$E$3:$Q$255,6,FALSE)</f>
        <v>14</v>
      </c>
      <c r="L48" s="142" t="str">
        <f t="shared" si="2"/>
        <v/>
      </c>
      <c r="M48" s="143" t="str">
        <f t="shared" si="3"/>
        <v/>
      </c>
      <c r="N48" s="144" t="str">
        <f>IF(VLOOKUP($B48,'Satınalma Takvimi Veri Girişi'!$B$4:$AC$146,9,FALSE)&lt;&gt;"",VLOOKUP($B48,'Satınalma Takvimi Veri Girişi'!$B$4:$AC$146,9,FALSE),"")</f>
        <v/>
      </c>
      <c r="O48" s="141">
        <f>VLOOKUP($B48,Şablon!$E$3:$Q$255,7,FALSE)</f>
        <v>14</v>
      </c>
      <c r="P48" s="142" t="str">
        <f t="shared" si="4"/>
        <v/>
      </c>
      <c r="Q48" s="143" t="str">
        <f t="shared" si="5"/>
        <v/>
      </c>
      <c r="R48" s="144" t="str">
        <f>IF(VLOOKUP($B48,'Satınalma Takvimi Veri Girişi'!$B$4:$AC$146,11,FALSE)&lt;&gt;"",VLOOKUP($B48,'Satınalma Takvimi Veri Girişi'!$B$4:$AC$146,11,FALSE),"")</f>
        <v/>
      </c>
      <c r="S48" s="141">
        <f>VLOOKUP($B48,Şablon!$E$3:$Q$255,8,FALSE)</f>
        <v>28</v>
      </c>
      <c r="T48" s="142" t="str">
        <f t="shared" si="6"/>
        <v/>
      </c>
      <c r="U48" s="143" t="str">
        <f t="shared" si="7"/>
        <v/>
      </c>
      <c r="V48" s="144" t="str">
        <f>IF(VLOOKUP($B48,'Satınalma Takvimi Veri Girişi'!$B$4:$AC$146,13,FALSE)&lt;&gt;"",VLOOKUP($B48,'Satınalma Takvimi Veri Girişi'!$B$4:$AC$146,13,FALSE),"")</f>
        <v/>
      </c>
      <c r="W48" s="141">
        <f>VLOOKUP($B48,Şablon!$E$3:$Q$255,9,FALSE)</f>
        <v>10</v>
      </c>
      <c r="X48" s="142" t="str">
        <f t="shared" si="8"/>
        <v/>
      </c>
      <c r="Y48" s="143" t="str">
        <f t="shared" si="9"/>
        <v/>
      </c>
      <c r="Z48" s="144" t="str">
        <f>IF(VLOOKUP($B48,'Satınalma Takvimi Veri Girişi'!$B$4:$AC$146,15,FALSE)&lt;&gt;"",VLOOKUP($B48,'Satınalma Takvimi Veri Girişi'!$B$4:$AC$146,15,FALSE),"")</f>
        <v/>
      </c>
      <c r="AA48" s="141">
        <f>VLOOKUP($B48,Şablon!$E$3:$Q$255,10,FALSE)</f>
        <v>14</v>
      </c>
      <c r="AB48" s="142" t="str">
        <f t="shared" si="10"/>
        <v/>
      </c>
      <c r="AC48" s="143" t="str">
        <f t="shared" si="11"/>
        <v/>
      </c>
      <c r="AD48" s="144" t="str">
        <f>IF(VLOOKUP($B48,'Satınalma Takvimi Veri Girişi'!$B$4:$AC$146,17,FALSE)&lt;&gt;"",VLOOKUP($B48,'Satınalma Takvimi Veri Girişi'!$B$4:$AC$146,17,FALSE),"")</f>
        <v/>
      </c>
      <c r="AE48" s="141">
        <f>(VLOOKUP($B48,Şablon!$E$3:$Q$255,11,FALSE)+VLOOKUP($B48,Şablon!$E$3:$Q$255,12,FALSE))</f>
        <v>14</v>
      </c>
      <c r="AF48" s="142" t="str">
        <f t="shared" si="12"/>
        <v/>
      </c>
      <c r="AG48" s="143" t="str">
        <f t="shared" si="13"/>
        <v/>
      </c>
      <c r="AH48" s="144" t="str">
        <f>IF(VLOOKUP($B48,'Satınalma Takvimi Veri Girişi'!$B$4:$AC$146,19,FALSE)&lt;&gt;"",VLOOKUP($B48,'Satınalma Takvimi Veri Girişi'!$B$4:$AC$146,19,FALSE),"")</f>
        <v/>
      </c>
      <c r="AI48" s="145" t="str">
        <f>IF(VLOOKUP($B48,'Satınalma Takvimi Veri Girişi'!$B$4:$AC$146,20,FALSE)&lt;&gt;"",VLOOKUP($B48,'Satınalma Takvimi Veri Girişi'!$B$4:$AC$146,20,FALSE),"")</f>
        <v/>
      </c>
      <c r="AJ48" s="144" t="str">
        <f>IF(VLOOKUP($B48,'Satınalma Takvimi Veri Girişi'!$B$4:$AC$146,21,FALSE)&lt;&gt;"",VLOOKUP($B48,'Satınalma Takvimi Veri Girişi'!$B$4:$AC$146,21,FALSE),"")</f>
        <v/>
      </c>
      <c r="AK48" s="146" t="str">
        <f>IF(VLOOKUP($B48,'Satınalma Takvimi Veri Girişi'!$B$4:$AC$146,22,FALSE)&lt;&gt;"",VLOOKUP($B48,'Satınalma Takvimi Veri Girişi'!$B$4:$AC$146,22,FALSE),"")</f>
        <v/>
      </c>
      <c r="AL48" s="147" t="str">
        <f>IF(VLOOKUP($B48,'Satınalma Takvimi Veri Girişi'!$B$4:$AC$146,23,FALSE)&lt;&gt;"",VLOOKUP($B48,'Satınalma Takvimi Veri Girişi'!$B$4:$AC$146,23,FALSE),"")</f>
        <v/>
      </c>
      <c r="AM48" s="147" t="str">
        <f>IF(VLOOKUP($B48,'Satınalma Takvimi Veri Girişi'!$B$4:$AC$146,24,FALSE)&lt;&gt;"",VLOOKUP($B48,'Satınalma Takvimi Veri Girişi'!$B$4:$AC$146,24,FALSE),"")</f>
        <v/>
      </c>
      <c r="AN48" s="147" t="str">
        <f>IF(VLOOKUP($B48,'Satınalma Takvimi Veri Girişi'!$B$4:$AC$146,25,FALSE)&lt;&gt;"",VLOOKUP($B48,'Satınalma Takvimi Veri Girişi'!$B$4:$AC$146,25,FALSE),"")</f>
        <v/>
      </c>
      <c r="AO48" s="147" t="str">
        <f>IF(VLOOKUP($B48,'Satınalma Takvimi Veri Girişi'!$B$4:$AC$146,26,FALSE)&lt;&gt;"",VLOOKUP($B48,'Satınalma Takvimi Veri Girişi'!$B$4:$AC$146,26,FALSE),"")</f>
        <v/>
      </c>
      <c r="AP48" s="147" t="str">
        <f>IF(VLOOKUP($B48,'Satınalma Takvimi Veri Girişi'!$B$4:$AC$146,27,FALSE)&lt;&gt;"",VLOOKUP($B48,'Satınalma Takvimi Veri Girişi'!$B$4:$AC$146,27,FALSE),"")</f>
        <v/>
      </c>
      <c r="AQ48" s="148" t="str">
        <f>IF(VLOOKUP($B48,'Satınalma Takvimi Veri Girişi'!$B$4:$AC$146,28,FALSE)&lt;&gt;"",VLOOKUP($B48,'Satınalma Takvimi Veri Girişi'!$B$4:$AC$146,28,FALSE),"")</f>
        <v/>
      </c>
    </row>
    <row r="49" spans="2:43" ht="19.95" customHeight="1" x14ac:dyDescent="0.3">
      <c r="B49" s="64" t="str">
        <f>Şablon!E48</f>
        <v>IHL.3028.043/1</v>
      </c>
      <c r="C49" s="139" t="str">
        <f>VLOOKUP($B49,Şablon!$E$3:$Q$255,2,FALSE)</f>
        <v>01.17.05 KULE VİNÇ BAĞLANTI KOLLARI</v>
      </c>
      <c r="D49" s="161" t="str">
        <f>IF(VLOOKUP($B49,'Satınalma Takvimi Veri Girişi'!$B$4:$AC$146,3,FALSE)&lt;&gt;"",VLOOKUP($B49,'Satınalma Takvimi Veri Girişi'!$B$4:$AC$146,3,FALSE),"")</f>
        <v/>
      </c>
      <c r="E49" s="139" t="str">
        <f>VLOOKUP($B49,Şablon!$E$3:$Q$255,3,FALSE)</f>
        <v>C KATEGORİ</v>
      </c>
      <c r="F49" s="140" t="str">
        <f>VLOOKUP($B49,Şablon!$E$3:$Q$255,4,FALSE)</f>
        <v>İNŞ</v>
      </c>
      <c r="G49" s="141">
        <f>VLOOKUP($B49,Şablon!$E$3:$Q$255,5,FALSE)</f>
        <v>0</v>
      </c>
      <c r="H49" s="142" t="str">
        <f t="shared" si="0"/>
        <v/>
      </c>
      <c r="I49" s="143" t="str">
        <f t="shared" si="1"/>
        <v/>
      </c>
      <c r="J49" s="144" t="str">
        <f>IF(VLOOKUP($B49,'Satınalma Takvimi Veri Girişi'!$B$4:$AC$146,7,FALSE)&lt;&gt;"",VLOOKUP($B49,'Satınalma Takvimi Veri Girişi'!$B$4:$AC$146,7,FALSE),"")</f>
        <v/>
      </c>
      <c r="K49" s="141">
        <f>VLOOKUP($B49,Şablon!$E$3:$Q$255,6,FALSE)</f>
        <v>14</v>
      </c>
      <c r="L49" s="142" t="str">
        <f t="shared" si="2"/>
        <v/>
      </c>
      <c r="M49" s="143" t="str">
        <f t="shared" si="3"/>
        <v/>
      </c>
      <c r="N49" s="144" t="str">
        <f>IF(VLOOKUP($B49,'Satınalma Takvimi Veri Girişi'!$B$4:$AC$146,9,FALSE)&lt;&gt;"",VLOOKUP($B49,'Satınalma Takvimi Veri Girişi'!$B$4:$AC$146,9,FALSE),"")</f>
        <v/>
      </c>
      <c r="O49" s="141">
        <f>VLOOKUP($B49,Şablon!$E$3:$Q$255,7,FALSE)</f>
        <v>7</v>
      </c>
      <c r="P49" s="142" t="str">
        <f t="shared" si="4"/>
        <v/>
      </c>
      <c r="Q49" s="143" t="str">
        <f t="shared" si="5"/>
        <v/>
      </c>
      <c r="R49" s="144" t="str">
        <f>IF(VLOOKUP($B49,'Satınalma Takvimi Veri Girişi'!$B$4:$AC$146,11,FALSE)&lt;&gt;"",VLOOKUP($B49,'Satınalma Takvimi Veri Girişi'!$B$4:$AC$146,11,FALSE),"")</f>
        <v/>
      </c>
      <c r="S49" s="141">
        <f>VLOOKUP($B49,Şablon!$E$3:$Q$255,8,FALSE)</f>
        <v>14</v>
      </c>
      <c r="T49" s="142" t="str">
        <f t="shared" si="6"/>
        <v/>
      </c>
      <c r="U49" s="143" t="str">
        <f t="shared" si="7"/>
        <v/>
      </c>
      <c r="V49" s="144" t="str">
        <f>IF(VLOOKUP($B49,'Satınalma Takvimi Veri Girişi'!$B$4:$AC$146,13,FALSE)&lt;&gt;"",VLOOKUP($B49,'Satınalma Takvimi Veri Girişi'!$B$4:$AC$146,13,FALSE),"")</f>
        <v/>
      </c>
      <c r="W49" s="141">
        <f>VLOOKUP($B49,Şablon!$E$3:$Q$255,9,FALSE)</f>
        <v>7</v>
      </c>
      <c r="X49" s="142" t="str">
        <f t="shared" si="8"/>
        <v/>
      </c>
      <c r="Y49" s="143" t="str">
        <f t="shared" si="9"/>
        <v/>
      </c>
      <c r="Z49" s="144" t="str">
        <f>IF(VLOOKUP($B49,'Satınalma Takvimi Veri Girişi'!$B$4:$AC$146,15,FALSE)&lt;&gt;"",VLOOKUP($B49,'Satınalma Takvimi Veri Girişi'!$B$4:$AC$146,15,FALSE),"")</f>
        <v/>
      </c>
      <c r="AA49" s="141">
        <f>VLOOKUP($B49,Şablon!$E$3:$Q$255,10,FALSE)</f>
        <v>7</v>
      </c>
      <c r="AB49" s="142" t="str">
        <f t="shared" si="10"/>
        <v/>
      </c>
      <c r="AC49" s="143" t="str">
        <f t="shared" si="11"/>
        <v/>
      </c>
      <c r="AD49" s="144" t="str">
        <f>IF(VLOOKUP($B49,'Satınalma Takvimi Veri Girişi'!$B$4:$AC$146,17,FALSE)&lt;&gt;"",VLOOKUP($B49,'Satınalma Takvimi Veri Girişi'!$B$4:$AC$146,17,FALSE),"")</f>
        <v/>
      </c>
      <c r="AE49" s="141">
        <f>(VLOOKUP($B49,Şablon!$E$3:$Q$255,11,FALSE)+VLOOKUP($B49,Şablon!$E$3:$Q$255,12,FALSE))</f>
        <v>35</v>
      </c>
      <c r="AF49" s="142" t="str">
        <f t="shared" si="12"/>
        <v/>
      </c>
      <c r="AG49" s="143" t="str">
        <f t="shared" si="13"/>
        <v/>
      </c>
      <c r="AH49" s="144" t="str">
        <f>IF(VLOOKUP($B49,'Satınalma Takvimi Veri Girişi'!$B$4:$AC$146,19,FALSE)&lt;&gt;"",VLOOKUP($B49,'Satınalma Takvimi Veri Girişi'!$B$4:$AC$146,19,FALSE),"")</f>
        <v/>
      </c>
      <c r="AI49" s="145" t="str">
        <f>IF(VLOOKUP($B49,'Satınalma Takvimi Veri Girişi'!$B$4:$AC$146,20,FALSE)&lt;&gt;"",VLOOKUP($B49,'Satınalma Takvimi Veri Girişi'!$B$4:$AC$146,20,FALSE),"")</f>
        <v/>
      </c>
      <c r="AJ49" s="144" t="str">
        <f>IF(VLOOKUP($B49,'Satınalma Takvimi Veri Girişi'!$B$4:$AC$146,21,FALSE)&lt;&gt;"",VLOOKUP($B49,'Satınalma Takvimi Veri Girişi'!$B$4:$AC$146,21,FALSE),"")</f>
        <v/>
      </c>
      <c r="AK49" s="146" t="str">
        <f>IF(VLOOKUP($B49,'Satınalma Takvimi Veri Girişi'!$B$4:$AC$146,22,FALSE)&lt;&gt;"",VLOOKUP($B49,'Satınalma Takvimi Veri Girişi'!$B$4:$AC$146,22,FALSE),"")</f>
        <v/>
      </c>
      <c r="AL49" s="147" t="str">
        <f>IF(VLOOKUP($B49,'Satınalma Takvimi Veri Girişi'!$B$4:$AC$146,23,FALSE)&lt;&gt;"",VLOOKUP($B49,'Satınalma Takvimi Veri Girişi'!$B$4:$AC$146,23,FALSE),"")</f>
        <v/>
      </c>
      <c r="AM49" s="147" t="str">
        <f>IF(VLOOKUP($B49,'Satınalma Takvimi Veri Girişi'!$B$4:$AC$146,24,FALSE)&lt;&gt;"",VLOOKUP($B49,'Satınalma Takvimi Veri Girişi'!$B$4:$AC$146,24,FALSE),"")</f>
        <v/>
      </c>
      <c r="AN49" s="147" t="str">
        <f>IF(VLOOKUP($B49,'Satınalma Takvimi Veri Girişi'!$B$4:$AC$146,25,FALSE)&lt;&gt;"",VLOOKUP($B49,'Satınalma Takvimi Veri Girişi'!$B$4:$AC$146,25,FALSE),"")</f>
        <v/>
      </c>
      <c r="AO49" s="147" t="str">
        <f>IF(VLOOKUP($B49,'Satınalma Takvimi Veri Girişi'!$B$4:$AC$146,26,FALSE)&lt;&gt;"",VLOOKUP($B49,'Satınalma Takvimi Veri Girişi'!$B$4:$AC$146,26,FALSE),"")</f>
        <v/>
      </c>
      <c r="AP49" s="147" t="str">
        <f>IF(VLOOKUP($B49,'Satınalma Takvimi Veri Girişi'!$B$4:$AC$146,27,FALSE)&lt;&gt;"",VLOOKUP($B49,'Satınalma Takvimi Veri Girişi'!$B$4:$AC$146,27,FALSE),"")</f>
        <v/>
      </c>
      <c r="AQ49" s="148" t="str">
        <f>IF(VLOOKUP($B49,'Satınalma Takvimi Veri Girişi'!$B$4:$AC$146,28,FALSE)&lt;&gt;"",VLOOKUP($B49,'Satınalma Takvimi Veri Girişi'!$B$4:$AC$146,28,FALSE),"")</f>
        <v/>
      </c>
    </row>
    <row r="50" spans="2:43" ht="19.95" customHeight="1" x14ac:dyDescent="0.3">
      <c r="B50" s="64" t="str">
        <f>Şablon!E49</f>
        <v>IHL.3028.044/1</v>
      </c>
      <c r="C50" s="139" t="str">
        <f>VLOOKUP($B50,Şablon!$E$3:$Q$255,2,FALSE)</f>
        <v>23.01.01 ISLAK HACİM YALITIM</v>
      </c>
      <c r="D50" s="161" t="str">
        <f>IF(VLOOKUP($B50,'Satınalma Takvimi Veri Girişi'!$B$4:$AC$146,3,FALSE)&lt;&gt;"",VLOOKUP($B50,'Satınalma Takvimi Veri Girişi'!$B$4:$AC$146,3,FALSE),"")</f>
        <v/>
      </c>
      <c r="E50" s="139" t="str">
        <f>VLOOKUP($B50,Şablon!$E$3:$Q$255,3,FALSE)</f>
        <v>A KATEGORİ</v>
      </c>
      <c r="F50" s="140" t="str">
        <f>VLOOKUP($B50,Şablon!$E$3:$Q$255,4,FALSE)</f>
        <v>İNŞ</v>
      </c>
      <c r="G50" s="141">
        <f>VLOOKUP($B50,Şablon!$E$3:$Q$255,5,FALSE)</f>
        <v>0</v>
      </c>
      <c r="H50" s="142" t="str">
        <f t="shared" si="0"/>
        <v/>
      </c>
      <c r="I50" s="143" t="str">
        <f t="shared" si="1"/>
        <v/>
      </c>
      <c r="J50" s="144" t="str">
        <f>IF(VLOOKUP($B50,'Satınalma Takvimi Veri Girişi'!$B$4:$AC$146,7,FALSE)&lt;&gt;"",VLOOKUP($B50,'Satınalma Takvimi Veri Girişi'!$B$4:$AC$146,7,FALSE),"")</f>
        <v/>
      </c>
      <c r="K50" s="141">
        <f>VLOOKUP($B50,Şablon!$E$3:$Q$255,6,FALSE)</f>
        <v>14</v>
      </c>
      <c r="L50" s="142" t="str">
        <f t="shared" si="2"/>
        <v/>
      </c>
      <c r="M50" s="143" t="str">
        <f t="shared" si="3"/>
        <v/>
      </c>
      <c r="N50" s="144" t="str">
        <f>IF(VLOOKUP($B50,'Satınalma Takvimi Veri Girişi'!$B$4:$AC$146,9,FALSE)&lt;&gt;"",VLOOKUP($B50,'Satınalma Takvimi Veri Girişi'!$B$4:$AC$146,9,FALSE),"")</f>
        <v/>
      </c>
      <c r="O50" s="141">
        <f>VLOOKUP($B50,Şablon!$E$3:$Q$255,7,FALSE)</f>
        <v>14</v>
      </c>
      <c r="P50" s="142" t="str">
        <f t="shared" si="4"/>
        <v/>
      </c>
      <c r="Q50" s="143" t="str">
        <f t="shared" si="5"/>
        <v/>
      </c>
      <c r="R50" s="144" t="str">
        <f>IF(VLOOKUP($B50,'Satınalma Takvimi Veri Girişi'!$B$4:$AC$146,11,FALSE)&lt;&gt;"",VLOOKUP($B50,'Satınalma Takvimi Veri Girişi'!$B$4:$AC$146,11,FALSE),"")</f>
        <v/>
      </c>
      <c r="S50" s="141">
        <f>VLOOKUP($B50,Şablon!$E$3:$Q$255,8,FALSE)</f>
        <v>21</v>
      </c>
      <c r="T50" s="142" t="str">
        <f t="shared" si="6"/>
        <v/>
      </c>
      <c r="U50" s="143" t="str">
        <f t="shared" si="7"/>
        <v/>
      </c>
      <c r="V50" s="144" t="str">
        <f>IF(VLOOKUP($B50,'Satınalma Takvimi Veri Girişi'!$B$4:$AC$146,13,FALSE)&lt;&gt;"",VLOOKUP($B50,'Satınalma Takvimi Veri Girişi'!$B$4:$AC$146,13,FALSE),"")</f>
        <v/>
      </c>
      <c r="W50" s="141">
        <f>VLOOKUP($B50,Şablon!$E$3:$Q$255,9,FALSE)</f>
        <v>10</v>
      </c>
      <c r="X50" s="142" t="str">
        <f t="shared" si="8"/>
        <v/>
      </c>
      <c r="Y50" s="143" t="str">
        <f t="shared" si="9"/>
        <v/>
      </c>
      <c r="Z50" s="144" t="str">
        <f>IF(VLOOKUP($B50,'Satınalma Takvimi Veri Girişi'!$B$4:$AC$146,15,FALSE)&lt;&gt;"",VLOOKUP($B50,'Satınalma Takvimi Veri Girişi'!$B$4:$AC$146,15,FALSE),"")</f>
        <v/>
      </c>
      <c r="AA50" s="141">
        <f>VLOOKUP($B50,Şablon!$E$3:$Q$255,10,FALSE)</f>
        <v>14</v>
      </c>
      <c r="AB50" s="142" t="str">
        <f t="shared" si="10"/>
        <v/>
      </c>
      <c r="AC50" s="143" t="str">
        <f t="shared" si="11"/>
        <v/>
      </c>
      <c r="AD50" s="144" t="str">
        <f>IF(VLOOKUP($B50,'Satınalma Takvimi Veri Girişi'!$B$4:$AC$146,17,FALSE)&lt;&gt;"",VLOOKUP($B50,'Satınalma Takvimi Veri Girişi'!$B$4:$AC$146,17,FALSE),"")</f>
        <v/>
      </c>
      <c r="AE50" s="141">
        <f>(VLOOKUP($B50,Şablon!$E$3:$Q$255,11,FALSE)+VLOOKUP($B50,Şablon!$E$3:$Q$255,12,FALSE))</f>
        <v>14</v>
      </c>
      <c r="AF50" s="142" t="str">
        <f t="shared" si="12"/>
        <v/>
      </c>
      <c r="AG50" s="143" t="str">
        <f t="shared" si="13"/>
        <v/>
      </c>
      <c r="AH50" s="144" t="str">
        <f>IF(VLOOKUP($B50,'Satınalma Takvimi Veri Girişi'!$B$4:$AC$146,19,FALSE)&lt;&gt;"",VLOOKUP($B50,'Satınalma Takvimi Veri Girişi'!$B$4:$AC$146,19,FALSE),"")</f>
        <v/>
      </c>
      <c r="AI50" s="145" t="str">
        <f>IF(VLOOKUP($B50,'Satınalma Takvimi Veri Girişi'!$B$4:$AC$146,20,FALSE)&lt;&gt;"",VLOOKUP($B50,'Satınalma Takvimi Veri Girişi'!$B$4:$AC$146,20,FALSE),"")</f>
        <v/>
      </c>
      <c r="AJ50" s="144" t="str">
        <f>IF(VLOOKUP($B50,'Satınalma Takvimi Veri Girişi'!$B$4:$AC$146,21,FALSE)&lt;&gt;"",VLOOKUP($B50,'Satınalma Takvimi Veri Girişi'!$B$4:$AC$146,21,FALSE),"")</f>
        <v/>
      </c>
      <c r="AK50" s="146" t="str">
        <f>IF(VLOOKUP($B50,'Satınalma Takvimi Veri Girişi'!$B$4:$AC$146,22,FALSE)&lt;&gt;"",VLOOKUP($B50,'Satınalma Takvimi Veri Girişi'!$B$4:$AC$146,22,FALSE),"")</f>
        <v/>
      </c>
      <c r="AL50" s="147" t="str">
        <f>IF(VLOOKUP($B50,'Satınalma Takvimi Veri Girişi'!$B$4:$AC$146,23,FALSE)&lt;&gt;"",VLOOKUP($B50,'Satınalma Takvimi Veri Girişi'!$B$4:$AC$146,23,FALSE),"")</f>
        <v/>
      </c>
      <c r="AM50" s="147" t="str">
        <f>IF(VLOOKUP($B50,'Satınalma Takvimi Veri Girişi'!$B$4:$AC$146,24,FALSE)&lt;&gt;"",VLOOKUP($B50,'Satınalma Takvimi Veri Girişi'!$B$4:$AC$146,24,FALSE),"")</f>
        <v/>
      </c>
      <c r="AN50" s="147" t="str">
        <f>IF(VLOOKUP($B50,'Satınalma Takvimi Veri Girişi'!$B$4:$AC$146,25,FALSE)&lt;&gt;"",VLOOKUP($B50,'Satınalma Takvimi Veri Girişi'!$B$4:$AC$146,25,FALSE),"")</f>
        <v/>
      </c>
      <c r="AO50" s="147" t="str">
        <f>IF(VLOOKUP($B50,'Satınalma Takvimi Veri Girişi'!$B$4:$AC$146,26,FALSE)&lt;&gt;"",VLOOKUP($B50,'Satınalma Takvimi Veri Girişi'!$B$4:$AC$146,26,FALSE),"")</f>
        <v/>
      </c>
      <c r="AP50" s="147" t="str">
        <f>IF(VLOOKUP($B50,'Satınalma Takvimi Veri Girişi'!$B$4:$AC$146,27,FALSE)&lt;&gt;"",VLOOKUP($B50,'Satınalma Takvimi Veri Girişi'!$B$4:$AC$146,27,FALSE),"")</f>
        <v/>
      </c>
      <c r="AQ50" s="148" t="str">
        <f>IF(VLOOKUP($B50,'Satınalma Takvimi Veri Girişi'!$B$4:$AC$146,28,FALSE)&lt;&gt;"",VLOOKUP($B50,'Satınalma Takvimi Veri Girişi'!$B$4:$AC$146,28,FALSE),"")</f>
        <v/>
      </c>
    </row>
    <row r="51" spans="2:43" ht="19.95" customHeight="1" x14ac:dyDescent="0.3">
      <c r="B51" s="64" t="str">
        <f>Şablon!E50</f>
        <v>IHL.3028.045/1</v>
      </c>
      <c r="C51" s="139" t="str">
        <f>VLOOKUP($B51,Şablon!$E$3:$Q$255,2,FALSE)</f>
        <v>23.01.02 BALKON &amp; TERAS YALITIM</v>
      </c>
      <c r="D51" s="161" t="str">
        <f>IF(VLOOKUP($B51,'Satınalma Takvimi Veri Girişi'!$B$4:$AC$146,3,FALSE)&lt;&gt;"",VLOOKUP($B51,'Satınalma Takvimi Veri Girişi'!$B$4:$AC$146,3,FALSE),"")</f>
        <v/>
      </c>
      <c r="E51" s="139" t="str">
        <f>VLOOKUP($B51,Şablon!$E$3:$Q$255,3,FALSE)</f>
        <v>A KATEGORİ</v>
      </c>
      <c r="F51" s="140" t="str">
        <f>VLOOKUP($B51,Şablon!$E$3:$Q$255,4,FALSE)</f>
        <v>İNŞ</v>
      </c>
      <c r="G51" s="141">
        <f>VLOOKUP($B51,Şablon!$E$3:$Q$255,5,FALSE)</f>
        <v>0</v>
      </c>
      <c r="H51" s="142" t="str">
        <f t="shared" si="0"/>
        <v/>
      </c>
      <c r="I51" s="143" t="str">
        <f t="shared" si="1"/>
        <v/>
      </c>
      <c r="J51" s="144" t="str">
        <f>IF(VLOOKUP($B51,'Satınalma Takvimi Veri Girişi'!$B$4:$AC$146,7,FALSE)&lt;&gt;"",VLOOKUP($B51,'Satınalma Takvimi Veri Girişi'!$B$4:$AC$146,7,FALSE),"")</f>
        <v/>
      </c>
      <c r="K51" s="141">
        <f>VLOOKUP($B51,Şablon!$E$3:$Q$255,6,FALSE)</f>
        <v>14</v>
      </c>
      <c r="L51" s="142" t="str">
        <f t="shared" si="2"/>
        <v/>
      </c>
      <c r="M51" s="143" t="str">
        <f t="shared" si="3"/>
        <v/>
      </c>
      <c r="N51" s="144" t="str">
        <f>IF(VLOOKUP($B51,'Satınalma Takvimi Veri Girişi'!$B$4:$AC$146,9,FALSE)&lt;&gt;"",VLOOKUP($B51,'Satınalma Takvimi Veri Girişi'!$B$4:$AC$146,9,FALSE),"")</f>
        <v/>
      </c>
      <c r="O51" s="141">
        <f>VLOOKUP($B51,Şablon!$E$3:$Q$255,7,FALSE)</f>
        <v>14</v>
      </c>
      <c r="P51" s="142" t="str">
        <f t="shared" si="4"/>
        <v/>
      </c>
      <c r="Q51" s="143" t="str">
        <f t="shared" si="5"/>
        <v/>
      </c>
      <c r="R51" s="144" t="str">
        <f>IF(VLOOKUP($B51,'Satınalma Takvimi Veri Girişi'!$B$4:$AC$146,11,FALSE)&lt;&gt;"",VLOOKUP($B51,'Satınalma Takvimi Veri Girişi'!$B$4:$AC$146,11,FALSE),"")</f>
        <v/>
      </c>
      <c r="S51" s="141">
        <f>VLOOKUP($B51,Şablon!$E$3:$Q$255,8,FALSE)</f>
        <v>21</v>
      </c>
      <c r="T51" s="142" t="str">
        <f t="shared" si="6"/>
        <v/>
      </c>
      <c r="U51" s="143" t="str">
        <f t="shared" si="7"/>
        <v/>
      </c>
      <c r="V51" s="144" t="str">
        <f>IF(VLOOKUP($B51,'Satınalma Takvimi Veri Girişi'!$B$4:$AC$146,13,FALSE)&lt;&gt;"",VLOOKUP($B51,'Satınalma Takvimi Veri Girişi'!$B$4:$AC$146,13,FALSE),"")</f>
        <v/>
      </c>
      <c r="W51" s="141">
        <f>VLOOKUP($B51,Şablon!$E$3:$Q$255,9,FALSE)</f>
        <v>10</v>
      </c>
      <c r="X51" s="142" t="str">
        <f t="shared" si="8"/>
        <v/>
      </c>
      <c r="Y51" s="143" t="str">
        <f t="shared" si="9"/>
        <v/>
      </c>
      <c r="Z51" s="144" t="str">
        <f>IF(VLOOKUP($B51,'Satınalma Takvimi Veri Girişi'!$B$4:$AC$146,15,FALSE)&lt;&gt;"",VLOOKUP($B51,'Satınalma Takvimi Veri Girişi'!$B$4:$AC$146,15,FALSE),"")</f>
        <v/>
      </c>
      <c r="AA51" s="141">
        <f>VLOOKUP($B51,Şablon!$E$3:$Q$255,10,FALSE)</f>
        <v>14</v>
      </c>
      <c r="AB51" s="142" t="str">
        <f t="shared" si="10"/>
        <v/>
      </c>
      <c r="AC51" s="143" t="str">
        <f t="shared" si="11"/>
        <v/>
      </c>
      <c r="AD51" s="144" t="str">
        <f>IF(VLOOKUP($B51,'Satınalma Takvimi Veri Girişi'!$B$4:$AC$146,17,FALSE)&lt;&gt;"",VLOOKUP($B51,'Satınalma Takvimi Veri Girişi'!$B$4:$AC$146,17,FALSE),"")</f>
        <v/>
      </c>
      <c r="AE51" s="141">
        <f>(VLOOKUP($B51,Şablon!$E$3:$Q$255,11,FALSE)+VLOOKUP($B51,Şablon!$E$3:$Q$255,12,FALSE))</f>
        <v>14</v>
      </c>
      <c r="AF51" s="142" t="str">
        <f t="shared" si="12"/>
        <v/>
      </c>
      <c r="AG51" s="143" t="str">
        <f t="shared" si="13"/>
        <v/>
      </c>
      <c r="AH51" s="144" t="str">
        <f>IF(VLOOKUP($B51,'Satınalma Takvimi Veri Girişi'!$B$4:$AC$146,19,FALSE)&lt;&gt;"",VLOOKUP($B51,'Satınalma Takvimi Veri Girişi'!$B$4:$AC$146,19,FALSE),"")</f>
        <v/>
      </c>
      <c r="AI51" s="145" t="str">
        <f>IF(VLOOKUP($B51,'Satınalma Takvimi Veri Girişi'!$B$4:$AC$146,20,FALSE)&lt;&gt;"",VLOOKUP($B51,'Satınalma Takvimi Veri Girişi'!$B$4:$AC$146,20,FALSE),"")</f>
        <v/>
      </c>
      <c r="AJ51" s="144" t="str">
        <f>IF(VLOOKUP($B51,'Satınalma Takvimi Veri Girişi'!$B$4:$AC$146,21,FALSE)&lt;&gt;"",VLOOKUP($B51,'Satınalma Takvimi Veri Girişi'!$B$4:$AC$146,21,FALSE),"")</f>
        <v/>
      </c>
      <c r="AK51" s="146" t="str">
        <f>IF(VLOOKUP($B51,'Satınalma Takvimi Veri Girişi'!$B$4:$AC$146,22,FALSE)&lt;&gt;"",VLOOKUP($B51,'Satınalma Takvimi Veri Girişi'!$B$4:$AC$146,22,FALSE),"")</f>
        <v/>
      </c>
      <c r="AL51" s="147" t="str">
        <f>IF(VLOOKUP($B51,'Satınalma Takvimi Veri Girişi'!$B$4:$AC$146,23,FALSE)&lt;&gt;"",VLOOKUP($B51,'Satınalma Takvimi Veri Girişi'!$B$4:$AC$146,23,FALSE),"")</f>
        <v/>
      </c>
      <c r="AM51" s="147" t="str">
        <f>IF(VLOOKUP($B51,'Satınalma Takvimi Veri Girişi'!$B$4:$AC$146,24,FALSE)&lt;&gt;"",VLOOKUP($B51,'Satınalma Takvimi Veri Girişi'!$B$4:$AC$146,24,FALSE),"")</f>
        <v/>
      </c>
      <c r="AN51" s="147" t="str">
        <f>IF(VLOOKUP($B51,'Satınalma Takvimi Veri Girişi'!$B$4:$AC$146,25,FALSE)&lt;&gt;"",VLOOKUP($B51,'Satınalma Takvimi Veri Girişi'!$B$4:$AC$146,25,FALSE),"")</f>
        <v/>
      </c>
      <c r="AO51" s="147" t="str">
        <f>IF(VLOOKUP($B51,'Satınalma Takvimi Veri Girişi'!$B$4:$AC$146,26,FALSE)&lt;&gt;"",VLOOKUP($B51,'Satınalma Takvimi Veri Girişi'!$B$4:$AC$146,26,FALSE),"")</f>
        <v/>
      </c>
      <c r="AP51" s="147" t="str">
        <f>IF(VLOOKUP($B51,'Satınalma Takvimi Veri Girişi'!$B$4:$AC$146,27,FALSE)&lt;&gt;"",VLOOKUP($B51,'Satınalma Takvimi Veri Girişi'!$B$4:$AC$146,27,FALSE),"")</f>
        <v/>
      </c>
      <c r="AQ51" s="148" t="str">
        <f>IF(VLOOKUP($B51,'Satınalma Takvimi Veri Girişi'!$B$4:$AC$146,28,FALSE)&lt;&gt;"",VLOOKUP($B51,'Satınalma Takvimi Veri Girişi'!$B$4:$AC$146,28,FALSE),"")</f>
        <v/>
      </c>
    </row>
    <row r="52" spans="2:43" ht="19.95" customHeight="1" x14ac:dyDescent="0.3">
      <c r="B52" s="64" t="str">
        <f>Şablon!E51</f>
        <v>IHL.3028.046/1</v>
      </c>
      <c r="C52" s="139" t="str">
        <f>VLOOKUP($B52,Şablon!$E$3:$Q$255,2,FALSE)</f>
        <v>29.01.01 YEŞİL ÇATI PEYZAJ İŞLERİ</v>
      </c>
      <c r="D52" s="161" t="str">
        <f>IF(VLOOKUP($B52,'Satınalma Takvimi Veri Girişi'!$B$4:$AC$146,3,FALSE)&lt;&gt;"",VLOOKUP($B52,'Satınalma Takvimi Veri Girişi'!$B$4:$AC$146,3,FALSE),"")</f>
        <v/>
      </c>
      <c r="E52" s="139" t="str">
        <f>VLOOKUP($B52,Şablon!$E$3:$Q$255,3,FALSE)</f>
        <v>B KATEGORİ</v>
      </c>
      <c r="F52" s="140" t="str">
        <f>VLOOKUP($B52,Şablon!$E$3:$Q$255,4,FALSE)</f>
        <v>İNŞ</v>
      </c>
      <c r="G52" s="141">
        <f>VLOOKUP($B52,Şablon!$E$3:$Q$255,5,FALSE)</f>
        <v>0</v>
      </c>
      <c r="H52" s="142" t="str">
        <f t="shared" si="0"/>
        <v/>
      </c>
      <c r="I52" s="143" t="str">
        <f t="shared" si="1"/>
        <v/>
      </c>
      <c r="J52" s="144" t="str">
        <f>IF(VLOOKUP($B52,'Satınalma Takvimi Veri Girişi'!$B$4:$AC$146,7,FALSE)&lt;&gt;"",VLOOKUP($B52,'Satınalma Takvimi Veri Girişi'!$B$4:$AC$146,7,FALSE),"")</f>
        <v/>
      </c>
      <c r="K52" s="141">
        <f>VLOOKUP($B52,Şablon!$E$3:$Q$255,6,FALSE)</f>
        <v>14</v>
      </c>
      <c r="L52" s="142" t="str">
        <f t="shared" si="2"/>
        <v/>
      </c>
      <c r="M52" s="143" t="str">
        <f t="shared" si="3"/>
        <v/>
      </c>
      <c r="N52" s="144" t="str">
        <f>IF(VLOOKUP($B52,'Satınalma Takvimi Veri Girişi'!$B$4:$AC$146,9,FALSE)&lt;&gt;"",VLOOKUP($B52,'Satınalma Takvimi Veri Girişi'!$B$4:$AC$146,9,FALSE),"")</f>
        <v/>
      </c>
      <c r="O52" s="141">
        <f>VLOOKUP($B52,Şablon!$E$3:$Q$255,7,FALSE)</f>
        <v>7</v>
      </c>
      <c r="P52" s="142" t="str">
        <f t="shared" si="4"/>
        <v/>
      </c>
      <c r="Q52" s="143" t="str">
        <f t="shared" si="5"/>
        <v/>
      </c>
      <c r="R52" s="144" t="str">
        <f>IF(VLOOKUP($B52,'Satınalma Takvimi Veri Girişi'!$B$4:$AC$146,11,FALSE)&lt;&gt;"",VLOOKUP($B52,'Satınalma Takvimi Veri Girişi'!$B$4:$AC$146,11,FALSE),"")</f>
        <v/>
      </c>
      <c r="S52" s="141">
        <f>VLOOKUP($B52,Şablon!$E$3:$Q$255,8,FALSE)</f>
        <v>14</v>
      </c>
      <c r="T52" s="142" t="str">
        <f t="shared" si="6"/>
        <v/>
      </c>
      <c r="U52" s="143" t="str">
        <f t="shared" si="7"/>
        <v/>
      </c>
      <c r="V52" s="144" t="str">
        <f>IF(VLOOKUP($B52,'Satınalma Takvimi Veri Girişi'!$B$4:$AC$146,13,FALSE)&lt;&gt;"",VLOOKUP($B52,'Satınalma Takvimi Veri Girişi'!$B$4:$AC$146,13,FALSE),"")</f>
        <v/>
      </c>
      <c r="W52" s="141">
        <f>VLOOKUP($B52,Şablon!$E$3:$Q$255,9,FALSE)</f>
        <v>7</v>
      </c>
      <c r="X52" s="142" t="str">
        <f t="shared" si="8"/>
        <v/>
      </c>
      <c r="Y52" s="143" t="str">
        <f t="shared" si="9"/>
        <v/>
      </c>
      <c r="Z52" s="144" t="str">
        <f>IF(VLOOKUP($B52,'Satınalma Takvimi Veri Girişi'!$B$4:$AC$146,15,FALSE)&lt;&gt;"",VLOOKUP($B52,'Satınalma Takvimi Veri Girişi'!$B$4:$AC$146,15,FALSE),"")</f>
        <v/>
      </c>
      <c r="AA52" s="141">
        <f>VLOOKUP($B52,Şablon!$E$3:$Q$255,10,FALSE)</f>
        <v>7</v>
      </c>
      <c r="AB52" s="142" t="str">
        <f t="shared" si="10"/>
        <v/>
      </c>
      <c r="AC52" s="143" t="str">
        <f t="shared" si="11"/>
        <v/>
      </c>
      <c r="AD52" s="144" t="str">
        <f>IF(VLOOKUP($B52,'Satınalma Takvimi Veri Girişi'!$B$4:$AC$146,17,FALSE)&lt;&gt;"",VLOOKUP($B52,'Satınalma Takvimi Veri Girişi'!$B$4:$AC$146,17,FALSE),"")</f>
        <v/>
      </c>
      <c r="AE52" s="141">
        <f>(VLOOKUP($B52,Şablon!$E$3:$Q$255,11,FALSE)+VLOOKUP($B52,Şablon!$E$3:$Q$255,12,FALSE))</f>
        <v>14</v>
      </c>
      <c r="AF52" s="142" t="str">
        <f t="shared" si="12"/>
        <v/>
      </c>
      <c r="AG52" s="143" t="str">
        <f t="shared" si="13"/>
        <v/>
      </c>
      <c r="AH52" s="144" t="str">
        <f>IF(VLOOKUP($B52,'Satınalma Takvimi Veri Girişi'!$B$4:$AC$146,19,FALSE)&lt;&gt;"",VLOOKUP($B52,'Satınalma Takvimi Veri Girişi'!$B$4:$AC$146,19,FALSE),"")</f>
        <v/>
      </c>
      <c r="AI52" s="145" t="str">
        <f>IF(VLOOKUP($B52,'Satınalma Takvimi Veri Girişi'!$B$4:$AC$146,20,FALSE)&lt;&gt;"",VLOOKUP($B52,'Satınalma Takvimi Veri Girişi'!$B$4:$AC$146,20,FALSE),"")</f>
        <v/>
      </c>
      <c r="AJ52" s="144" t="str">
        <f>IF(VLOOKUP($B52,'Satınalma Takvimi Veri Girişi'!$B$4:$AC$146,21,FALSE)&lt;&gt;"",VLOOKUP($B52,'Satınalma Takvimi Veri Girişi'!$B$4:$AC$146,21,FALSE),"")</f>
        <v/>
      </c>
      <c r="AK52" s="146" t="str">
        <f>IF(VLOOKUP($B52,'Satınalma Takvimi Veri Girişi'!$B$4:$AC$146,22,FALSE)&lt;&gt;"",VLOOKUP($B52,'Satınalma Takvimi Veri Girişi'!$B$4:$AC$146,22,FALSE),"")</f>
        <v/>
      </c>
      <c r="AL52" s="147" t="str">
        <f>IF(VLOOKUP($B52,'Satınalma Takvimi Veri Girişi'!$B$4:$AC$146,23,FALSE)&lt;&gt;"",VLOOKUP($B52,'Satınalma Takvimi Veri Girişi'!$B$4:$AC$146,23,FALSE),"")</f>
        <v/>
      </c>
      <c r="AM52" s="147" t="str">
        <f>IF(VLOOKUP($B52,'Satınalma Takvimi Veri Girişi'!$B$4:$AC$146,24,FALSE)&lt;&gt;"",VLOOKUP($B52,'Satınalma Takvimi Veri Girişi'!$B$4:$AC$146,24,FALSE),"")</f>
        <v/>
      </c>
      <c r="AN52" s="147" t="str">
        <f>IF(VLOOKUP($B52,'Satınalma Takvimi Veri Girişi'!$B$4:$AC$146,25,FALSE)&lt;&gt;"",VLOOKUP($B52,'Satınalma Takvimi Veri Girişi'!$B$4:$AC$146,25,FALSE),"")</f>
        <v/>
      </c>
      <c r="AO52" s="147" t="str">
        <f>IF(VLOOKUP($B52,'Satınalma Takvimi Veri Girişi'!$B$4:$AC$146,26,FALSE)&lt;&gt;"",VLOOKUP($B52,'Satınalma Takvimi Veri Girişi'!$B$4:$AC$146,26,FALSE),"")</f>
        <v/>
      </c>
      <c r="AP52" s="147" t="str">
        <f>IF(VLOOKUP($B52,'Satınalma Takvimi Veri Girişi'!$B$4:$AC$146,27,FALSE)&lt;&gt;"",VLOOKUP($B52,'Satınalma Takvimi Veri Girişi'!$B$4:$AC$146,27,FALSE),"")</f>
        <v/>
      </c>
      <c r="AQ52" s="148" t="str">
        <f>IF(VLOOKUP($B52,'Satınalma Takvimi Veri Girişi'!$B$4:$AC$146,28,FALSE)&lt;&gt;"",VLOOKUP($B52,'Satınalma Takvimi Veri Girişi'!$B$4:$AC$146,28,FALSE),"")</f>
        <v/>
      </c>
    </row>
    <row r="53" spans="2:43" ht="19.95" customHeight="1" x14ac:dyDescent="0.3">
      <c r="B53" s="64" t="str">
        <f>Şablon!E52</f>
        <v>IHL.3028.047/1</v>
      </c>
      <c r="C53" s="139" t="str">
        <f>VLOOKUP($B53,Şablon!$E$3:$Q$255,2,FALSE)</f>
        <v>15.03.00 ŞAP İŞLERİ</v>
      </c>
      <c r="D53" s="161" t="str">
        <f>IF(VLOOKUP($B53,'Satınalma Takvimi Veri Girişi'!$B$4:$AC$146,3,FALSE)&lt;&gt;"",VLOOKUP($B53,'Satınalma Takvimi Veri Girişi'!$B$4:$AC$146,3,FALSE),"")</f>
        <v/>
      </c>
      <c r="E53" s="139" t="str">
        <f>VLOOKUP($B53,Şablon!$E$3:$Q$255,3,FALSE)</f>
        <v>B KATEGORİ</v>
      </c>
      <c r="F53" s="140" t="str">
        <f>VLOOKUP($B53,Şablon!$E$3:$Q$255,4,FALSE)</f>
        <v>İNŞ</v>
      </c>
      <c r="G53" s="141">
        <f>VLOOKUP($B53,Şablon!$E$3:$Q$255,5,FALSE)</f>
        <v>0</v>
      </c>
      <c r="H53" s="142" t="str">
        <f t="shared" si="0"/>
        <v/>
      </c>
      <c r="I53" s="143" t="str">
        <f t="shared" si="1"/>
        <v/>
      </c>
      <c r="J53" s="144" t="str">
        <f>IF(VLOOKUP($B53,'Satınalma Takvimi Veri Girişi'!$B$4:$AC$146,7,FALSE)&lt;&gt;"",VLOOKUP($B53,'Satınalma Takvimi Veri Girişi'!$B$4:$AC$146,7,FALSE),"")</f>
        <v/>
      </c>
      <c r="K53" s="141">
        <f>VLOOKUP($B53,Şablon!$E$3:$Q$255,6,FALSE)</f>
        <v>14</v>
      </c>
      <c r="L53" s="142" t="str">
        <f t="shared" si="2"/>
        <v/>
      </c>
      <c r="M53" s="143" t="str">
        <f t="shared" si="3"/>
        <v/>
      </c>
      <c r="N53" s="144" t="str">
        <f>IF(VLOOKUP($B53,'Satınalma Takvimi Veri Girişi'!$B$4:$AC$146,9,FALSE)&lt;&gt;"",VLOOKUP($B53,'Satınalma Takvimi Veri Girişi'!$B$4:$AC$146,9,FALSE),"")</f>
        <v/>
      </c>
      <c r="O53" s="141">
        <f>VLOOKUP($B53,Şablon!$E$3:$Q$255,7,FALSE)</f>
        <v>14</v>
      </c>
      <c r="P53" s="142" t="str">
        <f t="shared" si="4"/>
        <v/>
      </c>
      <c r="Q53" s="143" t="str">
        <f t="shared" si="5"/>
        <v/>
      </c>
      <c r="R53" s="144" t="str">
        <f>IF(VLOOKUP($B53,'Satınalma Takvimi Veri Girişi'!$B$4:$AC$146,11,FALSE)&lt;&gt;"",VLOOKUP($B53,'Satınalma Takvimi Veri Girişi'!$B$4:$AC$146,11,FALSE),"")</f>
        <v/>
      </c>
      <c r="S53" s="141">
        <f>VLOOKUP($B53,Şablon!$E$3:$Q$255,8,FALSE)</f>
        <v>28</v>
      </c>
      <c r="T53" s="142" t="str">
        <f t="shared" si="6"/>
        <v/>
      </c>
      <c r="U53" s="143" t="str">
        <f t="shared" si="7"/>
        <v/>
      </c>
      <c r="V53" s="144" t="str">
        <f>IF(VLOOKUP($B53,'Satınalma Takvimi Veri Girişi'!$B$4:$AC$146,13,FALSE)&lt;&gt;"",VLOOKUP($B53,'Satınalma Takvimi Veri Girişi'!$B$4:$AC$146,13,FALSE),"")</f>
        <v/>
      </c>
      <c r="W53" s="141">
        <f>VLOOKUP($B53,Şablon!$E$3:$Q$255,9,FALSE)</f>
        <v>7</v>
      </c>
      <c r="X53" s="142" t="str">
        <f t="shared" si="8"/>
        <v/>
      </c>
      <c r="Y53" s="143" t="str">
        <f t="shared" si="9"/>
        <v/>
      </c>
      <c r="Z53" s="144" t="str">
        <f>IF(VLOOKUP($B53,'Satınalma Takvimi Veri Girişi'!$B$4:$AC$146,15,FALSE)&lt;&gt;"",VLOOKUP($B53,'Satınalma Takvimi Veri Girişi'!$B$4:$AC$146,15,FALSE),"")</f>
        <v/>
      </c>
      <c r="AA53" s="141">
        <f>VLOOKUP($B53,Şablon!$E$3:$Q$255,10,FALSE)</f>
        <v>7</v>
      </c>
      <c r="AB53" s="142" t="str">
        <f t="shared" si="10"/>
        <v/>
      </c>
      <c r="AC53" s="143" t="str">
        <f t="shared" si="11"/>
        <v/>
      </c>
      <c r="AD53" s="144" t="str">
        <f>IF(VLOOKUP($B53,'Satınalma Takvimi Veri Girişi'!$B$4:$AC$146,17,FALSE)&lt;&gt;"",VLOOKUP($B53,'Satınalma Takvimi Veri Girişi'!$B$4:$AC$146,17,FALSE),"")</f>
        <v/>
      </c>
      <c r="AE53" s="141">
        <f>(VLOOKUP($B53,Şablon!$E$3:$Q$255,11,FALSE)+VLOOKUP($B53,Şablon!$E$3:$Q$255,12,FALSE))</f>
        <v>14</v>
      </c>
      <c r="AF53" s="142" t="str">
        <f t="shared" si="12"/>
        <v/>
      </c>
      <c r="AG53" s="143" t="str">
        <f t="shared" si="13"/>
        <v/>
      </c>
      <c r="AH53" s="144" t="str">
        <f>IF(VLOOKUP($B53,'Satınalma Takvimi Veri Girişi'!$B$4:$AC$146,19,FALSE)&lt;&gt;"",VLOOKUP($B53,'Satınalma Takvimi Veri Girişi'!$B$4:$AC$146,19,FALSE),"")</f>
        <v/>
      </c>
      <c r="AI53" s="145" t="str">
        <f>IF(VLOOKUP($B53,'Satınalma Takvimi Veri Girişi'!$B$4:$AC$146,20,FALSE)&lt;&gt;"",VLOOKUP($B53,'Satınalma Takvimi Veri Girişi'!$B$4:$AC$146,20,FALSE),"")</f>
        <v/>
      </c>
      <c r="AJ53" s="144" t="str">
        <f>IF(VLOOKUP($B53,'Satınalma Takvimi Veri Girişi'!$B$4:$AC$146,21,FALSE)&lt;&gt;"",VLOOKUP($B53,'Satınalma Takvimi Veri Girişi'!$B$4:$AC$146,21,FALSE),"")</f>
        <v/>
      </c>
      <c r="AK53" s="146" t="str">
        <f>IF(VLOOKUP($B53,'Satınalma Takvimi Veri Girişi'!$B$4:$AC$146,22,FALSE)&lt;&gt;"",VLOOKUP($B53,'Satınalma Takvimi Veri Girişi'!$B$4:$AC$146,22,FALSE),"")</f>
        <v/>
      </c>
      <c r="AL53" s="147" t="str">
        <f>IF(VLOOKUP($B53,'Satınalma Takvimi Veri Girişi'!$B$4:$AC$146,23,FALSE)&lt;&gt;"",VLOOKUP($B53,'Satınalma Takvimi Veri Girişi'!$B$4:$AC$146,23,FALSE),"")</f>
        <v/>
      </c>
      <c r="AM53" s="147" t="str">
        <f>IF(VLOOKUP($B53,'Satınalma Takvimi Veri Girişi'!$B$4:$AC$146,24,FALSE)&lt;&gt;"",VLOOKUP($B53,'Satınalma Takvimi Veri Girişi'!$B$4:$AC$146,24,FALSE),"")</f>
        <v/>
      </c>
      <c r="AN53" s="147" t="str">
        <f>IF(VLOOKUP($B53,'Satınalma Takvimi Veri Girişi'!$B$4:$AC$146,25,FALSE)&lt;&gt;"",VLOOKUP($B53,'Satınalma Takvimi Veri Girişi'!$B$4:$AC$146,25,FALSE),"")</f>
        <v/>
      </c>
      <c r="AO53" s="147" t="str">
        <f>IF(VLOOKUP($B53,'Satınalma Takvimi Veri Girişi'!$B$4:$AC$146,26,FALSE)&lt;&gt;"",VLOOKUP($B53,'Satınalma Takvimi Veri Girişi'!$B$4:$AC$146,26,FALSE),"")</f>
        <v/>
      </c>
      <c r="AP53" s="147" t="str">
        <f>IF(VLOOKUP($B53,'Satınalma Takvimi Veri Girişi'!$B$4:$AC$146,27,FALSE)&lt;&gt;"",VLOOKUP($B53,'Satınalma Takvimi Veri Girişi'!$B$4:$AC$146,27,FALSE),"")</f>
        <v/>
      </c>
      <c r="AQ53" s="148" t="str">
        <f>IF(VLOOKUP($B53,'Satınalma Takvimi Veri Girişi'!$B$4:$AC$146,28,FALSE)&lt;&gt;"",VLOOKUP($B53,'Satınalma Takvimi Veri Girişi'!$B$4:$AC$146,28,FALSE),"")</f>
        <v/>
      </c>
    </row>
    <row r="54" spans="2:43" ht="19.95" customHeight="1" x14ac:dyDescent="0.3">
      <c r="B54" s="64" t="str">
        <f>Şablon!E53</f>
        <v>IHL.3028.048/1</v>
      </c>
      <c r="C54" s="139" t="str">
        <f>VLOOKUP($B54,Şablon!$E$3:$Q$255,2,FALSE)</f>
        <v>15.14.02 (M) BALKON SÜZGEÇ MALZEME TEMİNİ</v>
      </c>
      <c r="D54" s="161" t="str">
        <f>IF(VLOOKUP($B54,'Satınalma Takvimi Veri Girişi'!$B$4:$AC$146,3,FALSE)&lt;&gt;"",VLOOKUP($B54,'Satınalma Takvimi Veri Girişi'!$B$4:$AC$146,3,FALSE),"")</f>
        <v/>
      </c>
      <c r="E54" s="139" t="str">
        <f>VLOOKUP($B54,Şablon!$E$3:$Q$255,3,FALSE)</f>
        <v>B KATEGORİ</v>
      </c>
      <c r="F54" s="140" t="str">
        <f>VLOOKUP($B54,Şablon!$E$3:$Q$255,4,FALSE)</f>
        <v>İNŞ</v>
      </c>
      <c r="G54" s="141">
        <f>VLOOKUP($B54,Şablon!$E$3:$Q$255,5,FALSE)</f>
        <v>0</v>
      </c>
      <c r="H54" s="142" t="str">
        <f t="shared" si="0"/>
        <v/>
      </c>
      <c r="I54" s="143" t="str">
        <f t="shared" si="1"/>
        <v/>
      </c>
      <c r="J54" s="144" t="str">
        <f>IF(VLOOKUP($B54,'Satınalma Takvimi Veri Girişi'!$B$4:$AC$146,7,FALSE)&lt;&gt;"",VLOOKUP($B54,'Satınalma Takvimi Veri Girişi'!$B$4:$AC$146,7,FALSE),"")</f>
        <v/>
      </c>
      <c r="K54" s="141">
        <f>VLOOKUP($B54,Şablon!$E$3:$Q$255,6,FALSE)</f>
        <v>14</v>
      </c>
      <c r="L54" s="142" t="str">
        <f t="shared" si="2"/>
        <v/>
      </c>
      <c r="M54" s="143" t="str">
        <f t="shared" si="3"/>
        <v/>
      </c>
      <c r="N54" s="144" t="str">
        <f>IF(VLOOKUP($B54,'Satınalma Takvimi Veri Girişi'!$B$4:$AC$146,9,FALSE)&lt;&gt;"",VLOOKUP($B54,'Satınalma Takvimi Veri Girişi'!$B$4:$AC$146,9,FALSE),"")</f>
        <v/>
      </c>
      <c r="O54" s="141">
        <f>VLOOKUP($B54,Şablon!$E$3:$Q$255,7,FALSE)</f>
        <v>7</v>
      </c>
      <c r="P54" s="142" t="str">
        <f t="shared" si="4"/>
        <v/>
      </c>
      <c r="Q54" s="143" t="str">
        <f t="shared" si="5"/>
        <v/>
      </c>
      <c r="R54" s="144" t="str">
        <f>IF(VLOOKUP($B54,'Satınalma Takvimi Veri Girişi'!$B$4:$AC$146,11,FALSE)&lt;&gt;"",VLOOKUP($B54,'Satınalma Takvimi Veri Girişi'!$B$4:$AC$146,11,FALSE),"")</f>
        <v/>
      </c>
      <c r="S54" s="141">
        <f>VLOOKUP($B54,Şablon!$E$3:$Q$255,8,FALSE)</f>
        <v>21</v>
      </c>
      <c r="T54" s="142" t="str">
        <f t="shared" si="6"/>
        <v/>
      </c>
      <c r="U54" s="143" t="str">
        <f t="shared" si="7"/>
        <v/>
      </c>
      <c r="V54" s="144" t="str">
        <f>IF(VLOOKUP($B54,'Satınalma Takvimi Veri Girişi'!$B$4:$AC$146,13,FALSE)&lt;&gt;"",VLOOKUP($B54,'Satınalma Takvimi Veri Girişi'!$B$4:$AC$146,13,FALSE),"")</f>
        <v/>
      </c>
      <c r="W54" s="141">
        <f>VLOOKUP($B54,Şablon!$E$3:$Q$255,9,FALSE)</f>
        <v>7</v>
      </c>
      <c r="X54" s="142" t="str">
        <f t="shared" si="8"/>
        <v/>
      </c>
      <c r="Y54" s="143" t="str">
        <f t="shared" si="9"/>
        <v/>
      </c>
      <c r="Z54" s="144" t="str">
        <f>IF(VLOOKUP($B54,'Satınalma Takvimi Veri Girişi'!$B$4:$AC$146,15,FALSE)&lt;&gt;"",VLOOKUP($B54,'Satınalma Takvimi Veri Girişi'!$B$4:$AC$146,15,FALSE),"")</f>
        <v/>
      </c>
      <c r="AA54" s="141">
        <f>VLOOKUP($B54,Şablon!$E$3:$Q$255,10,FALSE)</f>
        <v>7</v>
      </c>
      <c r="AB54" s="142" t="str">
        <f t="shared" si="10"/>
        <v/>
      </c>
      <c r="AC54" s="143" t="str">
        <f t="shared" si="11"/>
        <v/>
      </c>
      <c r="AD54" s="144" t="str">
        <f>IF(VLOOKUP($B54,'Satınalma Takvimi Veri Girişi'!$B$4:$AC$146,17,FALSE)&lt;&gt;"",VLOOKUP($B54,'Satınalma Takvimi Veri Girişi'!$B$4:$AC$146,17,FALSE),"")</f>
        <v/>
      </c>
      <c r="AE54" s="141">
        <f>(VLOOKUP($B54,Şablon!$E$3:$Q$255,11,FALSE)+VLOOKUP($B54,Şablon!$E$3:$Q$255,12,FALSE))</f>
        <v>35</v>
      </c>
      <c r="AF54" s="142" t="str">
        <f t="shared" si="12"/>
        <v/>
      </c>
      <c r="AG54" s="143" t="str">
        <f t="shared" si="13"/>
        <v/>
      </c>
      <c r="AH54" s="144" t="str">
        <f>IF(VLOOKUP($B54,'Satınalma Takvimi Veri Girişi'!$B$4:$AC$146,19,FALSE)&lt;&gt;"",VLOOKUP($B54,'Satınalma Takvimi Veri Girişi'!$B$4:$AC$146,19,FALSE),"")</f>
        <v/>
      </c>
      <c r="AI54" s="145" t="str">
        <f>IF(VLOOKUP($B54,'Satınalma Takvimi Veri Girişi'!$B$4:$AC$146,20,FALSE)&lt;&gt;"",VLOOKUP($B54,'Satınalma Takvimi Veri Girişi'!$B$4:$AC$146,20,FALSE),"")</f>
        <v/>
      </c>
      <c r="AJ54" s="144" t="str">
        <f>IF(VLOOKUP($B54,'Satınalma Takvimi Veri Girişi'!$B$4:$AC$146,21,FALSE)&lt;&gt;"",VLOOKUP($B54,'Satınalma Takvimi Veri Girişi'!$B$4:$AC$146,21,FALSE),"")</f>
        <v/>
      </c>
      <c r="AK54" s="146" t="str">
        <f>IF(VLOOKUP($B54,'Satınalma Takvimi Veri Girişi'!$B$4:$AC$146,22,FALSE)&lt;&gt;"",VLOOKUP($B54,'Satınalma Takvimi Veri Girişi'!$B$4:$AC$146,22,FALSE),"")</f>
        <v/>
      </c>
      <c r="AL54" s="147" t="str">
        <f>IF(VLOOKUP($B54,'Satınalma Takvimi Veri Girişi'!$B$4:$AC$146,23,FALSE)&lt;&gt;"",VLOOKUP($B54,'Satınalma Takvimi Veri Girişi'!$B$4:$AC$146,23,FALSE),"")</f>
        <v/>
      </c>
      <c r="AM54" s="147" t="str">
        <f>IF(VLOOKUP($B54,'Satınalma Takvimi Veri Girişi'!$B$4:$AC$146,24,FALSE)&lt;&gt;"",VLOOKUP($B54,'Satınalma Takvimi Veri Girişi'!$B$4:$AC$146,24,FALSE),"")</f>
        <v/>
      </c>
      <c r="AN54" s="147" t="str">
        <f>IF(VLOOKUP($B54,'Satınalma Takvimi Veri Girişi'!$B$4:$AC$146,25,FALSE)&lt;&gt;"",VLOOKUP($B54,'Satınalma Takvimi Veri Girişi'!$B$4:$AC$146,25,FALSE),"")</f>
        <v/>
      </c>
      <c r="AO54" s="147" t="str">
        <f>IF(VLOOKUP($B54,'Satınalma Takvimi Veri Girişi'!$B$4:$AC$146,26,FALSE)&lt;&gt;"",VLOOKUP($B54,'Satınalma Takvimi Veri Girişi'!$B$4:$AC$146,26,FALSE),"")</f>
        <v/>
      </c>
      <c r="AP54" s="147" t="str">
        <f>IF(VLOOKUP($B54,'Satınalma Takvimi Veri Girişi'!$B$4:$AC$146,27,FALSE)&lt;&gt;"",VLOOKUP($B54,'Satınalma Takvimi Veri Girişi'!$B$4:$AC$146,27,FALSE),"")</f>
        <v/>
      </c>
      <c r="AQ54" s="148" t="str">
        <f>IF(VLOOKUP($B54,'Satınalma Takvimi Veri Girişi'!$B$4:$AC$146,28,FALSE)&lt;&gt;"",VLOOKUP($B54,'Satınalma Takvimi Veri Girişi'!$B$4:$AC$146,28,FALSE),"")</f>
        <v/>
      </c>
    </row>
    <row r="55" spans="2:43" ht="19.95" customHeight="1" x14ac:dyDescent="0.3">
      <c r="B55" s="64" t="str">
        <f>Şablon!E54</f>
        <v>IHL.3028.049/1</v>
      </c>
      <c r="C55" s="139" t="str">
        <f>VLOOKUP($B55,Şablon!$E$3:$Q$255,2,FALSE)</f>
        <v>15.06.00 SERAMİK İŞLERİ</v>
      </c>
      <c r="D55" s="161" t="str">
        <f>IF(VLOOKUP($B55,'Satınalma Takvimi Veri Girişi'!$B$4:$AC$146,3,FALSE)&lt;&gt;"",VLOOKUP($B55,'Satınalma Takvimi Veri Girişi'!$B$4:$AC$146,3,FALSE),"")</f>
        <v/>
      </c>
      <c r="E55" s="139" t="str">
        <f>VLOOKUP($B55,Şablon!$E$3:$Q$255,3,FALSE)</f>
        <v>B KATEGORİ</v>
      </c>
      <c r="F55" s="140" t="str">
        <f>VLOOKUP($B55,Şablon!$E$3:$Q$255,4,FALSE)</f>
        <v>İNŞ</v>
      </c>
      <c r="G55" s="141">
        <f>VLOOKUP($B55,Şablon!$E$3:$Q$255,5,FALSE)</f>
        <v>0</v>
      </c>
      <c r="H55" s="142" t="str">
        <f t="shared" si="0"/>
        <v/>
      </c>
      <c r="I55" s="143" t="str">
        <f t="shared" si="1"/>
        <v/>
      </c>
      <c r="J55" s="144" t="str">
        <f>IF(VLOOKUP($B55,'Satınalma Takvimi Veri Girişi'!$B$4:$AC$146,7,FALSE)&lt;&gt;"",VLOOKUP($B55,'Satınalma Takvimi Veri Girişi'!$B$4:$AC$146,7,FALSE),"")</f>
        <v/>
      </c>
      <c r="K55" s="141">
        <f>VLOOKUP($B55,Şablon!$E$3:$Q$255,6,FALSE)</f>
        <v>14</v>
      </c>
      <c r="L55" s="142" t="str">
        <f t="shared" si="2"/>
        <v/>
      </c>
      <c r="M55" s="143" t="str">
        <f t="shared" si="3"/>
        <v/>
      </c>
      <c r="N55" s="144" t="str">
        <f>IF(VLOOKUP($B55,'Satınalma Takvimi Veri Girişi'!$B$4:$AC$146,9,FALSE)&lt;&gt;"",VLOOKUP($B55,'Satınalma Takvimi Veri Girişi'!$B$4:$AC$146,9,FALSE),"")</f>
        <v/>
      </c>
      <c r="O55" s="141">
        <f>VLOOKUP($B55,Şablon!$E$3:$Q$255,7,FALSE)</f>
        <v>14</v>
      </c>
      <c r="P55" s="142" t="str">
        <f t="shared" si="4"/>
        <v/>
      </c>
      <c r="Q55" s="143" t="str">
        <f t="shared" si="5"/>
        <v/>
      </c>
      <c r="R55" s="144" t="str">
        <f>IF(VLOOKUP($B55,'Satınalma Takvimi Veri Girişi'!$B$4:$AC$146,11,FALSE)&lt;&gt;"",VLOOKUP($B55,'Satınalma Takvimi Veri Girişi'!$B$4:$AC$146,11,FALSE),"")</f>
        <v/>
      </c>
      <c r="S55" s="141">
        <f>VLOOKUP($B55,Şablon!$E$3:$Q$255,8,FALSE)</f>
        <v>28</v>
      </c>
      <c r="T55" s="142" t="str">
        <f t="shared" si="6"/>
        <v/>
      </c>
      <c r="U55" s="143" t="str">
        <f t="shared" si="7"/>
        <v/>
      </c>
      <c r="V55" s="144" t="str">
        <f>IF(VLOOKUP($B55,'Satınalma Takvimi Veri Girişi'!$B$4:$AC$146,13,FALSE)&lt;&gt;"",VLOOKUP($B55,'Satınalma Takvimi Veri Girişi'!$B$4:$AC$146,13,FALSE),"")</f>
        <v/>
      </c>
      <c r="W55" s="141">
        <f>VLOOKUP($B55,Şablon!$E$3:$Q$255,9,FALSE)</f>
        <v>7</v>
      </c>
      <c r="X55" s="142" t="str">
        <f t="shared" si="8"/>
        <v/>
      </c>
      <c r="Y55" s="143" t="str">
        <f t="shared" si="9"/>
        <v/>
      </c>
      <c r="Z55" s="144" t="str">
        <f>IF(VLOOKUP($B55,'Satınalma Takvimi Veri Girişi'!$B$4:$AC$146,15,FALSE)&lt;&gt;"",VLOOKUP($B55,'Satınalma Takvimi Veri Girişi'!$B$4:$AC$146,15,FALSE),"")</f>
        <v/>
      </c>
      <c r="AA55" s="141">
        <f>VLOOKUP($B55,Şablon!$E$3:$Q$255,10,FALSE)</f>
        <v>7</v>
      </c>
      <c r="AB55" s="142" t="str">
        <f t="shared" si="10"/>
        <v/>
      </c>
      <c r="AC55" s="143" t="str">
        <f t="shared" si="11"/>
        <v/>
      </c>
      <c r="AD55" s="144" t="str">
        <f>IF(VLOOKUP($B55,'Satınalma Takvimi Veri Girişi'!$B$4:$AC$146,17,FALSE)&lt;&gt;"",VLOOKUP($B55,'Satınalma Takvimi Veri Girişi'!$B$4:$AC$146,17,FALSE),"")</f>
        <v/>
      </c>
      <c r="AE55" s="141">
        <f>(VLOOKUP($B55,Şablon!$E$3:$Q$255,11,FALSE)+VLOOKUP($B55,Şablon!$E$3:$Q$255,12,FALSE))</f>
        <v>7</v>
      </c>
      <c r="AF55" s="142" t="str">
        <f t="shared" si="12"/>
        <v/>
      </c>
      <c r="AG55" s="143" t="str">
        <f t="shared" si="13"/>
        <v/>
      </c>
      <c r="AH55" s="144" t="str">
        <f>IF(VLOOKUP($B55,'Satınalma Takvimi Veri Girişi'!$B$4:$AC$146,19,FALSE)&lt;&gt;"",VLOOKUP($B55,'Satınalma Takvimi Veri Girişi'!$B$4:$AC$146,19,FALSE),"")</f>
        <v/>
      </c>
      <c r="AI55" s="145" t="str">
        <f>IF(VLOOKUP($B55,'Satınalma Takvimi Veri Girişi'!$B$4:$AC$146,20,FALSE)&lt;&gt;"",VLOOKUP($B55,'Satınalma Takvimi Veri Girişi'!$B$4:$AC$146,20,FALSE),"")</f>
        <v/>
      </c>
      <c r="AJ55" s="144" t="str">
        <f>IF(VLOOKUP($B55,'Satınalma Takvimi Veri Girişi'!$B$4:$AC$146,21,FALSE)&lt;&gt;"",VLOOKUP($B55,'Satınalma Takvimi Veri Girişi'!$B$4:$AC$146,21,FALSE),"")</f>
        <v/>
      </c>
      <c r="AK55" s="146" t="str">
        <f>IF(VLOOKUP($B55,'Satınalma Takvimi Veri Girişi'!$B$4:$AC$146,22,FALSE)&lt;&gt;"",VLOOKUP($B55,'Satınalma Takvimi Veri Girişi'!$B$4:$AC$146,22,FALSE),"")</f>
        <v/>
      </c>
      <c r="AL55" s="147" t="str">
        <f>IF(VLOOKUP($B55,'Satınalma Takvimi Veri Girişi'!$B$4:$AC$146,23,FALSE)&lt;&gt;"",VLOOKUP($B55,'Satınalma Takvimi Veri Girişi'!$B$4:$AC$146,23,FALSE),"")</f>
        <v/>
      </c>
      <c r="AM55" s="147" t="str">
        <f>IF(VLOOKUP($B55,'Satınalma Takvimi Veri Girişi'!$B$4:$AC$146,24,FALSE)&lt;&gt;"",VLOOKUP($B55,'Satınalma Takvimi Veri Girişi'!$B$4:$AC$146,24,FALSE),"")</f>
        <v/>
      </c>
      <c r="AN55" s="147" t="str">
        <f>IF(VLOOKUP($B55,'Satınalma Takvimi Veri Girişi'!$B$4:$AC$146,25,FALSE)&lt;&gt;"",VLOOKUP($B55,'Satınalma Takvimi Veri Girişi'!$B$4:$AC$146,25,FALSE),"")</f>
        <v/>
      </c>
      <c r="AO55" s="147" t="str">
        <f>IF(VLOOKUP($B55,'Satınalma Takvimi Veri Girişi'!$B$4:$AC$146,26,FALSE)&lt;&gt;"",VLOOKUP($B55,'Satınalma Takvimi Veri Girişi'!$B$4:$AC$146,26,FALSE),"")</f>
        <v/>
      </c>
      <c r="AP55" s="147" t="str">
        <f>IF(VLOOKUP($B55,'Satınalma Takvimi Veri Girişi'!$B$4:$AC$146,27,FALSE)&lt;&gt;"",VLOOKUP($B55,'Satınalma Takvimi Veri Girişi'!$B$4:$AC$146,27,FALSE),"")</f>
        <v/>
      </c>
      <c r="AQ55" s="148" t="str">
        <f>IF(VLOOKUP($B55,'Satınalma Takvimi Veri Girişi'!$B$4:$AC$146,28,FALSE)&lt;&gt;"",VLOOKUP($B55,'Satınalma Takvimi Veri Girişi'!$B$4:$AC$146,28,FALSE),"")</f>
        <v/>
      </c>
    </row>
    <row r="56" spans="2:43" ht="19.95" customHeight="1" x14ac:dyDescent="0.3">
      <c r="B56" s="64" t="str">
        <f>Şablon!E55</f>
        <v>IHL.3028.050/1</v>
      </c>
      <c r="C56" s="139" t="str">
        <f>VLOOKUP($B56,Şablon!$E$3:$Q$255,2,FALSE)</f>
        <v>15.06.01 PREKAST ZEMİN KAPLAMA</v>
      </c>
      <c r="D56" s="161" t="str">
        <f>IF(VLOOKUP($B56,'Satınalma Takvimi Veri Girişi'!$B$4:$AC$146,3,FALSE)&lt;&gt;"",VLOOKUP($B56,'Satınalma Takvimi Veri Girişi'!$B$4:$AC$146,3,FALSE),"")</f>
        <v/>
      </c>
      <c r="E56" s="139" t="str">
        <f>VLOOKUP($B56,Şablon!$E$3:$Q$255,3,FALSE)</f>
        <v>B KATEGORİ</v>
      </c>
      <c r="F56" s="140" t="str">
        <f>VLOOKUP($B56,Şablon!$E$3:$Q$255,4,FALSE)</f>
        <v>İNŞ</v>
      </c>
      <c r="G56" s="141">
        <f>VLOOKUP($B56,Şablon!$E$3:$Q$255,5,FALSE)</f>
        <v>0</v>
      </c>
      <c r="H56" s="142" t="str">
        <f t="shared" si="0"/>
        <v/>
      </c>
      <c r="I56" s="143" t="str">
        <f t="shared" si="1"/>
        <v/>
      </c>
      <c r="J56" s="144" t="str">
        <f>IF(VLOOKUP($B56,'Satınalma Takvimi Veri Girişi'!$B$4:$AC$146,7,FALSE)&lt;&gt;"",VLOOKUP($B56,'Satınalma Takvimi Veri Girişi'!$B$4:$AC$146,7,FALSE),"")</f>
        <v/>
      </c>
      <c r="K56" s="141">
        <f>VLOOKUP($B56,Şablon!$E$3:$Q$255,6,FALSE)</f>
        <v>14</v>
      </c>
      <c r="L56" s="142" t="str">
        <f t="shared" si="2"/>
        <v/>
      </c>
      <c r="M56" s="143" t="str">
        <f t="shared" si="3"/>
        <v/>
      </c>
      <c r="N56" s="144" t="str">
        <f>IF(VLOOKUP($B56,'Satınalma Takvimi Veri Girişi'!$B$4:$AC$146,9,FALSE)&lt;&gt;"",VLOOKUP($B56,'Satınalma Takvimi Veri Girişi'!$B$4:$AC$146,9,FALSE),"")</f>
        <v/>
      </c>
      <c r="O56" s="141">
        <f>VLOOKUP($B56,Şablon!$E$3:$Q$255,7,FALSE)</f>
        <v>14</v>
      </c>
      <c r="P56" s="142" t="str">
        <f t="shared" si="4"/>
        <v/>
      </c>
      <c r="Q56" s="143" t="str">
        <f t="shared" si="5"/>
        <v/>
      </c>
      <c r="R56" s="144" t="str">
        <f>IF(VLOOKUP($B56,'Satınalma Takvimi Veri Girişi'!$B$4:$AC$146,11,FALSE)&lt;&gt;"",VLOOKUP($B56,'Satınalma Takvimi Veri Girişi'!$B$4:$AC$146,11,FALSE),"")</f>
        <v/>
      </c>
      <c r="S56" s="141">
        <f>VLOOKUP($B56,Şablon!$E$3:$Q$255,8,FALSE)</f>
        <v>28</v>
      </c>
      <c r="T56" s="142" t="str">
        <f t="shared" si="6"/>
        <v/>
      </c>
      <c r="U56" s="143" t="str">
        <f t="shared" si="7"/>
        <v/>
      </c>
      <c r="V56" s="144" t="str">
        <f>IF(VLOOKUP($B56,'Satınalma Takvimi Veri Girişi'!$B$4:$AC$146,13,FALSE)&lt;&gt;"",VLOOKUP($B56,'Satınalma Takvimi Veri Girişi'!$B$4:$AC$146,13,FALSE),"")</f>
        <v/>
      </c>
      <c r="W56" s="141">
        <f>VLOOKUP($B56,Şablon!$E$3:$Q$255,9,FALSE)</f>
        <v>7</v>
      </c>
      <c r="X56" s="142" t="str">
        <f t="shared" si="8"/>
        <v/>
      </c>
      <c r="Y56" s="143" t="str">
        <f t="shared" si="9"/>
        <v/>
      </c>
      <c r="Z56" s="144" t="str">
        <f>IF(VLOOKUP($B56,'Satınalma Takvimi Veri Girişi'!$B$4:$AC$146,15,FALSE)&lt;&gt;"",VLOOKUP($B56,'Satınalma Takvimi Veri Girişi'!$B$4:$AC$146,15,FALSE),"")</f>
        <v/>
      </c>
      <c r="AA56" s="141">
        <f>VLOOKUP($B56,Şablon!$E$3:$Q$255,10,FALSE)</f>
        <v>7</v>
      </c>
      <c r="AB56" s="142" t="str">
        <f t="shared" si="10"/>
        <v/>
      </c>
      <c r="AC56" s="143" t="str">
        <f t="shared" si="11"/>
        <v/>
      </c>
      <c r="AD56" s="144" t="str">
        <f>IF(VLOOKUP($B56,'Satınalma Takvimi Veri Girişi'!$B$4:$AC$146,17,FALSE)&lt;&gt;"",VLOOKUP($B56,'Satınalma Takvimi Veri Girişi'!$B$4:$AC$146,17,FALSE),"")</f>
        <v/>
      </c>
      <c r="AE56" s="141">
        <f>(VLOOKUP($B56,Şablon!$E$3:$Q$255,11,FALSE)+VLOOKUP($B56,Şablon!$E$3:$Q$255,12,FALSE))</f>
        <v>7</v>
      </c>
      <c r="AF56" s="142" t="str">
        <f t="shared" si="12"/>
        <v/>
      </c>
      <c r="AG56" s="143" t="str">
        <f t="shared" si="13"/>
        <v/>
      </c>
      <c r="AH56" s="144" t="str">
        <f>IF(VLOOKUP($B56,'Satınalma Takvimi Veri Girişi'!$B$4:$AC$146,19,FALSE)&lt;&gt;"",VLOOKUP($B56,'Satınalma Takvimi Veri Girişi'!$B$4:$AC$146,19,FALSE),"")</f>
        <v/>
      </c>
      <c r="AI56" s="145" t="str">
        <f>IF(VLOOKUP($B56,'Satınalma Takvimi Veri Girişi'!$B$4:$AC$146,20,FALSE)&lt;&gt;"",VLOOKUP($B56,'Satınalma Takvimi Veri Girişi'!$B$4:$AC$146,20,FALSE),"")</f>
        <v/>
      </c>
      <c r="AJ56" s="144" t="str">
        <f>IF(VLOOKUP($B56,'Satınalma Takvimi Veri Girişi'!$B$4:$AC$146,21,FALSE)&lt;&gt;"",VLOOKUP($B56,'Satınalma Takvimi Veri Girişi'!$B$4:$AC$146,21,FALSE),"")</f>
        <v/>
      </c>
      <c r="AK56" s="146" t="str">
        <f>IF(VLOOKUP($B56,'Satınalma Takvimi Veri Girişi'!$B$4:$AC$146,22,FALSE)&lt;&gt;"",VLOOKUP($B56,'Satınalma Takvimi Veri Girişi'!$B$4:$AC$146,22,FALSE),"")</f>
        <v/>
      </c>
      <c r="AL56" s="147" t="str">
        <f>IF(VLOOKUP($B56,'Satınalma Takvimi Veri Girişi'!$B$4:$AC$146,23,FALSE)&lt;&gt;"",VLOOKUP($B56,'Satınalma Takvimi Veri Girişi'!$B$4:$AC$146,23,FALSE),"")</f>
        <v/>
      </c>
      <c r="AM56" s="147" t="str">
        <f>IF(VLOOKUP($B56,'Satınalma Takvimi Veri Girişi'!$B$4:$AC$146,24,FALSE)&lt;&gt;"",VLOOKUP($B56,'Satınalma Takvimi Veri Girişi'!$B$4:$AC$146,24,FALSE),"")</f>
        <v/>
      </c>
      <c r="AN56" s="147" t="str">
        <f>IF(VLOOKUP($B56,'Satınalma Takvimi Veri Girişi'!$B$4:$AC$146,25,FALSE)&lt;&gt;"",VLOOKUP($B56,'Satınalma Takvimi Veri Girişi'!$B$4:$AC$146,25,FALSE),"")</f>
        <v/>
      </c>
      <c r="AO56" s="147" t="str">
        <f>IF(VLOOKUP($B56,'Satınalma Takvimi Veri Girişi'!$B$4:$AC$146,26,FALSE)&lt;&gt;"",VLOOKUP($B56,'Satınalma Takvimi Veri Girişi'!$B$4:$AC$146,26,FALSE),"")</f>
        <v/>
      </c>
      <c r="AP56" s="147" t="str">
        <f>IF(VLOOKUP($B56,'Satınalma Takvimi Veri Girişi'!$B$4:$AC$146,27,FALSE)&lt;&gt;"",VLOOKUP($B56,'Satınalma Takvimi Veri Girişi'!$B$4:$AC$146,27,FALSE),"")</f>
        <v/>
      </c>
      <c r="AQ56" s="148" t="str">
        <f>IF(VLOOKUP($B56,'Satınalma Takvimi Veri Girişi'!$B$4:$AC$146,28,FALSE)&lt;&gt;"",VLOOKUP($B56,'Satınalma Takvimi Veri Girişi'!$B$4:$AC$146,28,FALSE),"")</f>
        <v/>
      </c>
    </row>
    <row r="57" spans="2:43" ht="19.95" customHeight="1" x14ac:dyDescent="0.3">
      <c r="B57" s="64" t="str">
        <f>Şablon!E56</f>
        <v>IHL.3028.051/1</v>
      </c>
      <c r="C57" s="139" t="str">
        <f>VLOOKUP($B57,Şablon!$E$3:$Q$255,2,FALSE)</f>
        <v>15.06.01 (M) PREKAST BASAMAK MALZEME</v>
      </c>
      <c r="D57" s="161" t="str">
        <f>IF(VLOOKUP($B57,'Satınalma Takvimi Veri Girişi'!$B$4:$AC$146,3,FALSE)&lt;&gt;"",VLOOKUP($B57,'Satınalma Takvimi Veri Girişi'!$B$4:$AC$146,3,FALSE),"")</f>
        <v/>
      </c>
      <c r="E57" s="139" t="str">
        <f>VLOOKUP($B57,Şablon!$E$3:$Q$255,3,FALSE)</f>
        <v>B KATEGORİ</v>
      </c>
      <c r="F57" s="140" t="str">
        <f>VLOOKUP($B57,Şablon!$E$3:$Q$255,4,FALSE)</f>
        <v>İNŞ</v>
      </c>
      <c r="G57" s="141">
        <f>VLOOKUP($B57,Şablon!$E$3:$Q$255,5,FALSE)</f>
        <v>0</v>
      </c>
      <c r="H57" s="142" t="str">
        <f t="shared" si="0"/>
        <v/>
      </c>
      <c r="I57" s="143" t="str">
        <f t="shared" si="1"/>
        <v/>
      </c>
      <c r="J57" s="144" t="str">
        <f>IF(VLOOKUP($B57,'Satınalma Takvimi Veri Girişi'!$B$4:$AC$146,7,FALSE)&lt;&gt;"",VLOOKUP($B57,'Satınalma Takvimi Veri Girişi'!$B$4:$AC$146,7,FALSE),"")</f>
        <v/>
      </c>
      <c r="K57" s="141">
        <f>VLOOKUP($B57,Şablon!$E$3:$Q$255,6,FALSE)</f>
        <v>14</v>
      </c>
      <c r="L57" s="142" t="str">
        <f t="shared" si="2"/>
        <v/>
      </c>
      <c r="M57" s="143" t="str">
        <f t="shared" si="3"/>
        <v/>
      </c>
      <c r="N57" s="144" t="str">
        <f>IF(VLOOKUP($B57,'Satınalma Takvimi Veri Girişi'!$B$4:$AC$146,9,FALSE)&lt;&gt;"",VLOOKUP($B57,'Satınalma Takvimi Veri Girişi'!$B$4:$AC$146,9,FALSE),"")</f>
        <v/>
      </c>
      <c r="O57" s="141">
        <f>VLOOKUP($B57,Şablon!$E$3:$Q$255,7,FALSE)</f>
        <v>7</v>
      </c>
      <c r="P57" s="142" t="str">
        <f t="shared" si="4"/>
        <v/>
      </c>
      <c r="Q57" s="143" t="str">
        <f t="shared" si="5"/>
        <v/>
      </c>
      <c r="R57" s="144" t="str">
        <f>IF(VLOOKUP($B57,'Satınalma Takvimi Veri Girişi'!$B$4:$AC$146,11,FALSE)&lt;&gt;"",VLOOKUP($B57,'Satınalma Takvimi Veri Girişi'!$B$4:$AC$146,11,FALSE),"")</f>
        <v/>
      </c>
      <c r="S57" s="141">
        <f>VLOOKUP($B57,Şablon!$E$3:$Q$255,8,FALSE)</f>
        <v>21</v>
      </c>
      <c r="T57" s="142" t="str">
        <f t="shared" si="6"/>
        <v/>
      </c>
      <c r="U57" s="143" t="str">
        <f t="shared" si="7"/>
        <v/>
      </c>
      <c r="V57" s="144" t="str">
        <f>IF(VLOOKUP($B57,'Satınalma Takvimi Veri Girişi'!$B$4:$AC$146,13,FALSE)&lt;&gt;"",VLOOKUP($B57,'Satınalma Takvimi Veri Girişi'!$B$4:$AC$146,13,FALSE),"")</f>
        <v/>
      </c>
      <c r="W57" s="141">
        <f>VLOOKUP($B57,Şablon!$E$3:$Q$255,9,FALSE)</f>
        <v>7</v>
      </c>
      <c r="X57" s="142" t="str">
        <f t="shared" si="8"/>
        <v/>
      </c>
      <c r="Y57" s="143" t="str">
        <f t="shared" si="9"/>
        <v/>
      </c>
      <c r="Z57" s="144" t="str">
        <f>IF(VLOOKUP($B57,'Satınalma Takvimi Veri Girişi'!$B$4:$AC$146,15,FALSE)&lt;&gt;"",VLOOKUP($B57,'Satınalma Takvimi Veri Girişi'!$B$4:$AC$146,15,FALSE),"")</f>
        <v/>
      </c>
      <c r="AA57" s="141">
        <f>VLOOKUP($B57,Şablon!$E$3:$Q$255,10,FALSE)</f>
        <v>7</v>
      </c>
      <c r="AB57" s="142" t="str">
        <f t="shared" si="10"/>
        <v/>
      </c>
      <c r="AC57" s="143" t="str">
        <f t="shared" si="11"/>
        <v/>
      </c>
      <c r="AD57" s="144" t="str">
        <f>IF(VLOOKUP($B57,'Satınalma Takvimi Veri Girişi'!$B$4:$AC$146,17,FALSE)&lt;&gt;"",VLOOKUP($B57,'Satınalma Takvimi Veri Girişi'!$B$4:$AC$146,17,FALSE),"")</f>
        <v/>
      </c>
      <c r="AE57" s="141">
        <f>(VLOOKUP($B57,Şablon!$E$3:$Q$255,11,FALSE)+VLOOKUP($B57,Şablon!$E$3:$Q$255,12,FALSE))</f>
        <v>35</v>
      </c>
      <c r="AF57" s="142" t="str">
        <f t="shared" si="12"/>
        <v/>
      </c>
      <c r="AG57" s="143" t="str">
        <f t="shared" si="13"/>
        <v/>
      </c>
      <c r="AH57" s="144" t="str">
        <f>IF(VLOOKUP($B57,'Satınalma Takvimi Veri Girişi'!$B$4:$AC$146,19,FALSE)&lt;&gt;"",VLOOKUP($B57,'Satınalma Takvimi Veri Girişi'!$B$4:$AC$146,19,FALSE),"")</f>
        <v/>
      </c>
      <c r="AI57" s="145" t="str">
        <f>IF(VLOOKUP($B57,'Satınalma Takvimi Veri Girişi'!$B$4:$AC$146,20,FALSE)&lt;&gt;"",VLOOKUP($B57,'Satınalma Takvimi Veri Girişi'!$B$4:$AC$146,20,FALSE),"")</f>
        <v/>
      </c>
      <c r="AJ57" s="144" t="str">
        <f>IF(VLOOKUP($B57,'Satınalma Takvimi Veri Girişi'!$B$4:$AC$146,21,FALSE)&lt;&gt;"",VLOOKUP($B57,'Satınalma Takvimi Veri Girişi'!$B$4:$AC$146,21,FALSE),"")</f>
        <v/>
      </c>
      <c r="AK57" s="146" t="str">
        <f>IF(VLOOKUP($B57,'Satınalma Takvimi Veri Girişi'!$B$4:$AC$146,22,FALSE)&lt;&gt;"",VLOOKUP($B57,'Satınalma Takvimi Veri Girişi'!$B$4:$AC$146,22,FALSE),"")</f>
        <v/>
      </c>
      <c r="AL57" s="147" t="str">
        <f>IF(VLOOKUP($B57,'Satınalma Takvimi Veri Girişi'!$B$4:$AC$146,23,FALSE)&lt;&gt;"",VLOOKUP($B57,'Satınalma Takvimi Veri Girişi'!$B$4:$AC$146,23,FALSE),"")</f>
        <v/>
      </c>
      <c r="AM57" s="147" t="str">
        <f>IF(VLOOKUP($B57,'Satınalma Takvimi Veri Girişi'!$B$4:$AC$146,24,FALSE)&lt;&gt;"",VLOOKUP($B57,'Satınalma Takvimi Veri Girişi'!$B$4:$AC$146,24,FALSE),"")</f>
        <v/>
      </c>
      <c r="AN57" s="147" t="str">
        <f>IF(VLOOKUP($B57,'Satınalma Takvimi Veri Girişi'!$B$4:$AC$146,25,FALSE)&lt;&gt;"",VLOOKUP($B57,'Satınalma Takvimi Veri Girişi'!$B$4:$AC$146,25,FALSE),"")</f>
        <v/>
      </c>
      <c r="AO57" s="147" t="str">
        <f>IF(VLOOKUP($B57,'Satınalma Takvimi Veri Girişi'!$B$4:$AC$146,26,FALSE)&lt;&gt;"",VLOOKUP($B57,'Satınalma Takvimi Veri Girişi'!$B$4:$AC$146,26,FALSE),"")</f>
        <v/>
      </c>
      <c r="AP57" s="147" t="str">
        <f>IF(VLOOKUP($B57,'Satınalma Takvimi Veri Girişi'!$B$4:$AC$146,27,FALSE)&lt;&gt;"",VLOOKUP($B57,'Satınalma Takvimi Veri Girişi'!$B$4:$AC$146,27,FALSE),"")</f>
        <v/>
      </c>
      <c r="AQ57" s="148" t="str">
        <f>IF(VLOOKUP($B57,'Satınalma Takvimi Veri Girişi'!$B$4:$AC$146,28,FALSE)&lt;&gt;"",VLOOKUP($B57,'Satınalma Takvimi Veri Girişi'!$B$4:$AC$146,28,FALSE),"")</f>
        <v/>
      </c>
    </row>
    <row r="58" spans="2:43" ht="19.95" customHeight="1" x14ac:dyDescent="0.3">
      <c r="B58" s="64" t="str">
        <f>Şablon!E57</f>
        <v>IHL.3028.052/1</v>
      </c>
      <c r="C58" s="139" t="str">
        <f>VLOOKUP($B58,Şablon!$E$3:$Q$255,2,FALSE)</f>
        <v>15.06.04 DOĞALTAŞ ZEMİN KAPLAMA İŞLERİ</v>
      </c>
      <c r="D58" s="161" t="str">
        <f>IF(VLOOKUP($B58,'Satınalma Takvimi Veri Girişi'!$B$4:$AC$146,3,FALSE)&lt;&gt;"",VLOOKUP($B58,'Satınalma Takvimi Veri Girişi'!$B$4:$AC$146,3,FALSE),"")</f>
        <v/>
      </c>
      <c r="E58" s="139" t="str">
        <f>VLOOKUP($B58,Şablon!$E$3:$Q$255,3,FALSE)</f>
        <v>B KATEGORİ</v>
      </c>
      <c r="F58" s="140" t="str">
        <f>VLOOKUP($B58,Şablon!$E$3:$Q$255,4,FALSE)</f>
        <v>İNŞ</v>
      </c>
      <c r="G58" s="141">
        <f>VLOOKUP($B58,Şablon!$E$3:$Q$255,5,FALSE)</f>
        <v>0</v>
      </c>
      <c r="H58" s="142" t="str">
        <f t="shared" si="0"/>
        <v/>
      </c>
      <c r="I58" s="143" t="str">
        <f t="shared" si="1"/>
        <v/>
      </c>
      <c r="J58" s="144" t="str">
        <f>IF(VLOOKUP($B58,'Satınalma Takvimi Veri Girişi'!$B$4:$AC$146,7,FALSE)&lt;&gt;"",VLOOKUP($B58,'Satınalma Takvimi Veri Girişi'!$B$4:$AC$146,7,FALSE),"")</f>
        <v/>
      </c>
      <c r="K58" s="141">
        <f>VLOOKUP($B58,Şablon!$E$3:$Q$255,6,FALSE)</f>
        <v>14</v>
      </c>
      <c r="L58" s="142" t="str">
        <f t="shared" si="2"/>
        <v/>
      </c>
      <c r="M58" s="143" t="str">
        <f t="shared" si="3"/>
        <v/>
      </c>
      <c r="N58" s="144" t="str">
        <f>IF(VLOOKUP($B58,'Satınalma Takvimi Veri Girişi'!$B$4:$AC$146,9,FALSE)&lt;&gt;"",VLOOKUP($B58,'Satınalma Takvimi Veri Girişi'!$B$4:$AC$146,9,FALSE),"")</f>
        <v/>
      </c>
      <c r="O58" s="141">
        <f>VLOOKUP($B58,Şablon!$E$3:$Q$255,7,FALSE)</f>
        <v>7</v>
      </c>
      <c r="P58" s="142" t="str">
        <f t="shared" si="4"/>
        <v/>
      </c>
      <c r="Q58" s="143" t="str">
        <f t="shared" si="5"/>
        <v/>
      </c>
      <c r="R58" s="144" t="str">
        <f>IF(VLOOKUP($B58,'Satınalma Takvimi Veri Girişi'!$B$4:$AC$146,11,FALSE)&lt;&gt;"",VLOOKUP($B58,'Satınalma Takvimi Veri Girişi'!$B$4:$AC$146,11,FALSE),"")</f>
        <v/>
      </c>
      <c r="S58" s="141">
        <f>VLOOKUP($B58,Şablon!$E$3:$Q$255,8,FALSE)</f>
        <v>28</v>
      </c>
      <c r="T58" s="142" t="str">
        <f t="shared" si="6"/>
        <v/>
      </c>
      <c r="U58" s="143" t="str">
        <f t="shared" si="7"/>
        <v/>
      </c>
      <c r="V58" s="144" t="str">
        <f>IF(VLOOKUP($B58,'Satınalma Takvimi Veri Girişi'!$B$4:$AC$146,13,FALSE)&lt;&gt;"",VLOOKUP($B58,'Satınalma Takvimi Veri Girişi'!$B$4:$AC$146,13,FALSE),"")</f>
        <v/>
      </c>
      <c r="W58" s="141">
        <f>VLOOKUP($B58,Şablon!$E$3:$Q$255,9,FALSE)</f>
        <v>7</v>
      </c>
      <c r="X58" s="142" t="str">
        <f t="shared" si="8"/>
        <v/>
      </c>
      <c r="Y58" s="143" t="str">
        <f t="shared" si="9"/>
        <v/>
      </c>
      <c r="Z58" s="144" t="str">
        <f>IF(VLOOKUP($B58,'Satınalma Takvimi Veri Girişi'!$B$4:$AC$146,15,FALSE)&lt;&gt;"",VLOOKUP($B58,'Satınalma Takvimi Veri Girişi'!$B$4:$AC$146,15,FALSE),"")</f>
        <v/>
      </c>
      <c r="AA58" s="141">
        <f>VLOOKUP($B58,Şablon!$E$3:$Q$255,10,FALSE)</f>
        <v>7</v>
      </c>
      <c r="AB58" s="142" t="str">
        <f t="shared" si="10"/>
        <v/>
      </c>
      <c r="AC58" s="143" t="str">
        <f t="shared" si="11"/>
        <v/>
      </c>
      <c r="AD58" s="144" t="str">
        <f>IF(VLOOKUP($B58,'Satınalma Takvimi Veri Girişi'!$B$4:$AC$146,17,FALSE)&lt;&gt;"",VLOOKUP($B58,'Satınalma Takvimi Veri Girişi'!$B$4:$AC$146,17,FALSE),"")</f>
        <v/>
      </c>
      <c r="AE58" s="141">
        <f>(VLOOKUP($B58,Şablon!$E$3:$Q$255,11,FALSE)+VLOOKUP($B58,Şablon!$E$3:$Q$255,12,FALSE))</f>
        <v>21</v>
      </c>
      <c r="AF58" s="142" t="str">
        <f t="shared" si="12"/>
        <v/>
      </c>
      <c r="AG58" s="143" t="str">
        <f t="shared" si="13"/>
        <v/>
      </c>
      <c r="AH58" s="144" t="str">
        <f>IF(VLOOKUP($B58,'Satınalma Takvimi Veri Girişi'!$B$4:$AC$146,19,FALSE)&lt;&gt;"",VLOOKUP($B58,'Satınalma Takvimi Veri Girişi'!$B$4:$AC$146,19,FALSE),"")</f>
        <v/>
      </c>
      <c r="AI58" s="145" t="str">
        <f>IF(VLOOKUP($B58,'Satınalma Takvimi Veri Girişi'!$B$4:$AC$146,20,FALSE)&lt;&gt;"",VLOOKUP($B58,'Satınalma Takvimi Veri Girişi'!$B$4:$AC$146,20,FALSE),"")</f>
        <v/>
      </c>
      <c r="AJ58" s="144" t="str">
        <f>IF(VLOOKUP($B58,'Satınalma Takvimi Veri Girişi'!$B$4:$AC$146,21,FALSE)&lt;&gt;"",VLOOKUP($B58,'Satınalma Takvimi Veri Girişi'!$B$4:$AC$146,21,FALSE),"")</f>
        <v/>
      </c>
      <c r="AK58" s="146" t="str">
        <f>IF(VLOOKUP($B58,'Satınalma Takvimi Veri Girişi'!$B$4:$AC$146,22,FALSE)&lt;&gt;"",VLOOKUP($B58,'Satınalma Takvimi Veri Girişi'!$B$4:$AC$146,22,FALSE),"")</f>
        <v/>
      </c>
      <c r="AL58" s="147" t="str">
        <f>IF(VLOOKUP($B58,'Satınalma Takvimi Veri Girişi'!$B$4:$AC$146,23,FALSE)&lt;&gt;"",VLOOKUP($B58,'Satınalma Takvimi Veri Girişi'!$B$4:$AC$146,23,FALSE),"")</f>
        <v/>
      </c>
      <c r="AM58" s="147" t="str">
        <f>IF(VLOOKUP($B58,'Satınalma Takvimi Veri Girişi'!$B$4:$AC$146,24,FALSE)&lt;&gt;"",VLOOKUP($B58,'Satınalma Takvimi Veri Girişi'!$B$4:$AC$146,24,FALSE),"")</f>
        <v/>
      </c>
      <c r="AN58" s="147" t="str">
        <f>IF(VLOOKUP($B58,'Satınalma Takvimi Veri Girişi'!$B$4:$AC$146,25,FALSE)&lt;&gt;"",VLOOKUP($B58,'Satınalma Takvimi Veri Girişi'!$B$4:$AC$146,25,FALSE),"")</f>
        <v/>
      </c>
      <c r="AO58" s="147" t="str">
        <f>IF(VLOOKUP($B58,'Satınalma Takvimi Veri Girişi'!$B$4:$AC$146,26,FALSE)&lt;&gt;"",VLOOKUP($B58,'Satınalma Takvimi Veri Girişi'!$B$4:$AC$146,26,FALSE),"")</f>
        <v/>
      </c>
      <c r="AP58" s="147" t="str">
        <f>IF(VLOOKUP($B58,'Satınalma Takvimi Veri Girişi'!$B$4:$AC$146,27,FALSE)&lt;&gt;"",VLOOKUP($B58,'Satınalma Takvimi Veri Girişi'!$B$4:$AC$146,27,FALSE),"")</f>
        <v/>
      </c>
      <c r="AQ58" s="148" t="str">
        <f>IF(VLOOKUP($B58,'Satınalma Takvimi Veri Girişi'!$B$4:$AC$146,28,FALSE)&lt;&gt;"",VLOOKUP($B58,'Satınalma Takvimi Veri Girişi'!$B$4:$AC$146,28,FALSE),"")</f>
        <v/>
      </c>
    </row>
    <row r="59" spans="2:43" ht="19.95" customHeight="1" x14ac:dyDescent="0.3">
      <c r="B59" s="64" t="str">
        <f>Şablon!E58</f>
        <v>IHL.3028.053/1</v>
      </c>
      <c r="C59" s="139" t="str">
        <f>VLOOKUP($B59,Şablon!$E$3:$Q$255,2,FALSE)</f>
        <v xml:space="preserve">15.09.00 (M) DENİZLİK MALZEME </v>
      </c>
      <c r="D59" s="161" t="str">
        <f>IF(VLOOKUP($B59,'Satınalma Takvimi Veri Girişi'!$B$4:$AC$146,3,FALSE)&lt;&gt;"",VLOOKUP($B59,'Satınalma Takvimi Veri Girişi'!$B$4:$AC$146,3,FALSE),"")</f>
        <v/>
      </c>
      <c r="E59" s="139" t="str">
        <f>VLOOKUP($B59,Şablon!$E$3:$Q$255,3,FALSE)</f>
        <v>B KATEGORİ</v>
      </c>
      <c r="F59" s="140" t="str">
        <f>VLOOKUP($B59,Şablon!$E$3:$Q$255,4,FALSE)</f>
        <v>İNŞ</v>
      </c>
      <c r="G59" s="141">
        <f>VLOOKUP($B59,Şablon!$E$3:$Q$255,5,FALSE)</f>
        <v>0</v>
      </c>
      <c r="H59" s="142" t="str">
        <f t="shared" si="0"/>
        <v/>
      </c>
      <c r="I59" s="143" t="str">
        <f t="shared" si="1"/>
        <v/>
      </c>
      <c r="J59" s="144" t="str">
        <f>IF(VLOOKUP($B59,'Satınalma Takvimi Veri Girişi'!$B$4:$AC$146,7,FALSE)&lt;&gt;"",VLOOKUP($B59,'Satınalma Takvimi Veri Girişi'!$B$4:$AC$146,7,FALSE),"")</f>
        <v/>
      </c>
      <c r="K59" s="141">
        <f>VLOOKUP($B59,Şablon!$E$3:$Q$255,6,FALSE)</f>
        <v>14</v>
      </c>
      <c r="L59" s="142" t="str">
        <f t="shared" si="2"/>
        <v/>
      </c>
      <c r="M59" s="143" t="str">
        <f t="shared" si="3"/>
        <v/>
      </c>
      <c r="N59" s="144" t="str">
        <f>IF(VLOOKUP($B59,'Satınalma Takvimi Veri Girişi'!$B$4:$AC$146,9,FALSE)&lt;&gt;"",VLOOKUP($B59,'Satınalma Takvimi Veri Girişi'!$B$4:$AC$146,9,FALSE),"")</f>
        <v/>
      </c>
      <c r="O59" s="141">
        <f>VLOOKUP($B59,Şablon!$E$3:$Q$255,7,FALSE)</f>
        <v>7</v>
      </c>
      <c r="P59" s="142" t="str">
        <f t="shared" si="4"/>
        <v/>
      </c>
      <c r="Q59" s="143" t="str">
        <f t="shared" si="5"/>
        <v/>
      </c>
      <c r="R59" s="144" t="str">
        <f>IF(VLOOKUP($B59,'Satınalma Takvimi Veri Girişi'!$B$4:$AC$146,11,FALSE)&lt;&gt;"",VLOOKUP($B59,'Satınalma Takvimi Veri Girişi'!$B$4:$AC$146,11,FALSE),"")</f>
        <v/>
      </c>
      <c r="S59" s="141">
        <f>VLOOKUP($B59,Şablon!$E$3:$Q$255,8,FALSE)</f>
        <v>14</v>
      </c>
      <c r="T59" s="142" t="str">
        <f t="shared" si="6"/>
        <v/>
      </c>
      <c r="U59" s="143" t="str">
        <f t="shared" si="7"/>
        <v/>
      </c>
      <c r="V59" s="144" t="str">
        <f>IF(VLOOKUP($B59,'Satınalma Takvimi Veri Girişi'!$B$4:$AC$146,13,FALSE)&lt;&gt;"",VLOOKUP($B59,'Satınalma Takvimi Veri Girişi'!$B$4:$AC$146,13,FALSE),"")</f>
        <v/>
      </c>
      <c r="W59" s="141">
        <f>VLOOKUP($B59,Şablon!$E$3:$Q$255,9,FALSE)</f>
        <v>7</v>
      </c>
      <c r="X59" s="142" t="str">
        <f t="shared" si="8"/>
        <v/>
      </c>
      <c r="Y59" s="143" t="str">
        <f t="shared" si="9"/>
        <v/>
      </c>
      <c r="Z59" s="144" t="str">
        <f>IF(VLOOKUP($B59,'Satınalma Takvimi Veri Girişi'!$B$4:$AC$146,15,FALSE)&lt;&gt;"",VLOOKUP($B59,'Satınalma Takvimi Veri Girişi'!$B$4:$AC$146,15,FALSE),"")</f>
        <v/>
      </c>
      <c r="AA59" s="141">
        <f>VLOOKUP($B59,Şablon!$E$3:$Q$255,10,FALSE)</f>
        <v>7</v>
      </c>
      <c r="AB59" s="142" t="str">
        <f t="shared" si="10"/>
        <v/>
      </c>
      <c r="AC59" s="143" t="str">
        <f t="shared" si="11"/>
        <v/>
      </c>
      <c r="AD59" s="144" t="str">
        <f>IF(VLOOKUP($B59,'Satınalma Takvimi Veri Girişi'!$B$4:$AC$146,17,FALSE)&lt;&gt;"",VLOOKUP($B59,'Satınalma Takvimi Veri Girişi'!$B$4:$AC$146,17,FALSE),"")</f>
        <v/>
      </c>
      <c r="AE59" s="141">
        <f>(VLOOKUP($B59,Şablon!$E$3:$Q$255,11,FALSE)+VLOOKUP($B59,Şablon!$E$3:$Q$255,12,FALSE))</f>
        <v>35</v>
      </c>
      <c r="AF59" s="142" t="str">
        <f t="shared" si="12"/>
        <v/>
      </c>
      <c r="AG59" s="143" t="str">
        <f t="shared" si="13"/>
        <v/>
      </c>
      <c r="AH59" s="144" t="str">
        <f>IF(VLOOKUP($B59,'Satınalma Takvimi Veri Girişi'!$B$4:$AC$146,19,FALSE)&lt;&gt;"",VLOOKUP($B59,'Satınalma Takvimi Veri Girişi'!$B$4:$AC$146,19,FALSE),"")</f>
        <v/>
      </c>
      <c r="AI59" s="145" t="str">
        <f>IF(VLOOKUP($B59,'Satınalma Takvimi Veri Girişi'!$B$4:$AC$146,20,FALSE)&lt;&gt;"",VLOOKUP($B59,'Satınalma Takvimi Veri Girişi'!$B$4:$AC$146,20,FALSE),"")</f>
        <v/>
      </c>
      <c r="AJ59" s="144" t="str">
        <f>IF(VLOOKUP($B59,'Satınalma Takvimi Veri Girişi'!$B$4:$AC$146,21,FALSE)&lt;&gt;"",VLOOKUP($B59,'Satınalma Takvimi Veri Girişi'!$B$4:$AC$146,21,FALSE),"")</f>
        <v/>
      </c>
      <c r="AK59" s="146" t="str">
        <f>IF(VLOOKUP($B59,'Satınalma Takvimi Veri Girişi'!$B$4:$AC$146,22,FALSE)&lt;&gt;"",VLOOKUP($B59,'Satınalma Takvimi Veri Girişi'!$B$4:$AC$146,22,FALSE),"")</f>
        <v/>
      </c>
      <c r="AL59" s="147" t="str">
        <f>IF(VLOOKUP($B59,'Satınalma Takvimi Veri Girişi'!$B$4:$AC$146,23,FALSE)&lt;&gt;"",VLOOKUP($B59,'Satınalma Takvimi Veri Girişi'!$B$4:$AC$146,23,FALSE),"")</f>
        <v/>
      </c>
      <c r="AM59" s="147" t="str">
        <f>IF(VLOOKUP($B59,'Satınalma Takvimi Veri Girişi'!$B$4:$AC$146,24,FALSE)&lt;&gt;"",VLOOKUP($B59,'Satınalma Takvimi Veri Girişi'!$B$4:$AC$146,24,FALSE),"")</f>
        <v/>
      </c>
      <c r="AN59" s="147" t="str">
        <f>IF(VLOOKUP($B59,'Satınalma Takvimi Veri Girişi'!$B$4:$AC$146,25,FALSE)&lt;&gt;"",VLOOKUP($B59,'Satınalma Takvimi Veri Girişi'!$B$4:$AC$146,25,FALSE),"")</f>
        <v/>
      </c>
      <c r="AO59" s="147" t="str">
        <f>IF(VLOOKUP($B59,'Satınalma Takvimi Veri Girişi'!$B$4:$AC$146,26,FALSE)&lt;&gt;"",VLOOKUP($B59,'Satınalma Takvimi Veri Girişi'!$B$4:$AC$146,26,FALSE),"")</f>
        <v/>
      </c>
      <c r="AP59" s="147" t="str">
        <f>IF(VLOOKUP($B59,'Satınalma Takvimi Veri Girişi'!$B$4:$AC$146,27,FALSE)&lt;&gt;"",VLOOKUP($B59,'Satınalma Takvimi Veri Girişi'!$B$4:$AC$146,27,FALSE),"")</f>
        <v/>
      </c>
      <c r="AQ59" s="148" t="str">
        <f>IF(VLOOKUP($B59,'Satınalma Takvimi Veri Girişi'!$B$4:$AC$146,28,FALSE)&lt;&gt;"",VLOOKUP($B59,'Satınalma Takvimi Veri Girişi'!$B$4:$AC$146,28,FALSE),"")</f>
        <v/>
      </c>
    </row>
    <row r="60" spans="2:43" ht="19.95" customHeight="1" x14ac:dyDescent="0.3">
      <c r="B60" s="64" t="str">
        <f>Şablon!E59</f>
        <v>IHL.3028.054/1</v>
      </c>
      <c r="C60" s="139" t="str">
        <f>VLOOKUP($B60,Şablon!$E$3:$Q$255,2,FALSE)</f>
        <v>21.01.00 ÇELİK KAPI</v>
      </c>
      <c r="D60" s="161" t="str">
        <f>IF(VLOOKUP($B60,'Satınalma Takvimi Veri Girişi'!$B$4:$AC$146,3,FALSE)&lt;&gt;"",VLOOKUP($B60,'Satınalma Takvimi Veri Girişi'!$B$4:$AC$146,3,FALSE),"")</f>
        <v/>
      </c>
      <c r="E60" s="139" t="str">
        <f>VLOOKUP($B60,Şablon!$E$3:$Q$255,3,FALSE)</f>
        <v>A KATEGORİ</v>
      </c>
      <c r="F60" s="140" t="str">
        <f>VLOOKUP($B60,Şablon!$E$3:$Q$255,4,FALSE)</f>
        <v>İNŞ</v>
      </c>
      <c r="G60" s="141">
        <f>VLOOKUP($B60,Şablon!$E$3:$Q$255,5,FALSE)</f>
        <v>0</v>
      </c>
      <c r="H60" s="142" t="str">
        <f t="shared" si="0"/>
        <v/>
      </c>
      <c r="I60" s="143" t="str">
        <f t="shared" si="1"/>
        <v/>
      </c>
      <c r="J60" s="144" t="str">
        <f>IF(VLOOKUP($B60,'Satınalma Takvimi Veri Girişi'!$B$4:$AC$146,7,FALSE)&lt;&gt;"",VLOOKUP($B60,'Satınalma Takvimi Veri Girişi'!$B$4:$AC$146,7,FALSE),"")</f>
        <v/>
      </c>
      <c r="K60" s="141">
        <f>VLOOKUP($B60,Şablon!$E$3:$Q$255,6,FALSE)</f>
        <v>14</v>
      </c>
      <c r="L60" s="142" t="str">
        <f t="shared" si="2"/>
        <v/>
      </c>
      <c r="M60" s="143" t="str">
        <f t="shared" si="3"/>
        <v/>
      </c>
      <c r="N60" s="144" t="str">
        <f>IF(VLOOKUP($B60,'Satınalma Takvimi Veri Girişi'!$B$4:$AC$146,9,FALSE)&lt;&gt;"",VLOOKUP($B60,'Satınalma Takvimi Veri Girişi'!$B$4:$AC$146,9,FALSE),"")</f>
        <v/>
      </c>
      <c r="O60" s="141">
        <f>VLOOKUP($B60,Şablon!$E$3:$Q$255,7,FALSE)</f>
        <v>7</v>
      </c>
      <c r="P60" s="142" t="str">
        <f t="shared" si="4"/>
        <v/>
      </c>
      <c r="Q60" s="143" t="str">
        <f t="shared" si="5"/>
        <v/>
      </c>
      <c r="R60" s="144" t="str">
        <f>IF(VLOOKUP($B60,'Satınalma Takvimi Veri Girişi'!$B$4:$AC$146,11,FALSE)&lt;&gt;"",VLOOKUP($B60,'Satınalma Takvimi Veri Girişi'!$B$4:$AC$146,11,FALSE),"")</f>
        <v/>
      </c>
      <c r="S60" s="141">
        <f>VLOOKUP($B60,Şablon!$E$3:$Q$255,8,FALSE)</f>
        <v>21</v>
      </c>
      <c r="T60" s="142" t="str">
        <f t="shared" si="6"/>
        <v/>
      </c>
      <c r="U60" s="143" t="str">
        <f t="shared" si="7"/>
        <v/>
      </c>
      <c r="V60" s="144" t="str">
        <f>IF(VLOOKUP($B60,'Satınalma Takvimi Veri Girişi'!$B$4:$AC$146,13,FALSE)&lt;&gt;"",VLOOKUP($B60,'Satınalma Takvimi Veri Girişi'!$B$4:$AC$146,13,FALSE),"")</f>
        <v/>
      </c>
      <c r="W60" s="141">
        <f>VLOOKUP($B60,Şablon!$E$3:$Q$255,9,FALSE)</f>
        <v>10</v>
      </c>
      <c r="X60" s="142" t="str">
        <f t="shared" si="8"/>
        <v/>
      </c>
      <c r="Y60" s="143" t="str">
        <f t="shared" si="9"/>
        <v/>
      </c>
      <c r="Z60" s="144" t="str">
        <f>IF(VLOOKUP($B60,'Satınalma Takvimi Veri Girişi'!$B$4:$AC$146,15,FALSE)&lt;&gt;"",VLOOKUP($B60,'Satınalma Takvimi Veri Girişi'!$B$4:$AC$146,15,FALSE),"")</f>
        <v/>
      </c>
      <c r="AA60" s="141">
        <f>VLOOKUP($B60,Şablon!$E$3:$Q$255,10,FALSE)</f>
        <v>14</v>
      </c>
      <c r="AB60" s="142" t="str">
        <f t="shared" si="10"/>
        <v/>
      </c>
      <c r="AC60" s="143" t="str">
        <f t="shared" si="11"/>
        <v/>
      </c>
      <c r="AD60" s="144" t="str">
        <f>IF(VLOOKUP($B60,'Satınalma Takvimi Veri Girişi'!$B$4:$AC$146,17,FALSE)&lt;&gt;"",VLOOKUP($B60,'Satınalma Takvimi Veri Girişi'!$B$4:$AC$146,17,FALSE),"")</f>
        <v/>
      </c>
      <c r="AE60" s="141">
        <f>(VLOOKUP($B60,Şablon!$E$3:$Q$255,11,FALSE)+VLOOKUP($B60,Şablon!$E$3:$Q$255,12,FALSE))</f>
        <v>73</v>
      </c>
      <c r="AF60" s="142" t="str">
        <f t="shared" si="12"/>
        <v/>
      </c>
      <c r="AG60" s="143" t="str">
        <f t="shared" si="13"/>
        <v/>
      </c>
      <c r="AH60" s="144" t="str">
        <f>IF(VLOOKUP($B60,'Satınalma Takvimi Veri Girişi'!$B$4:$AC$146,19,FALSE)&lt;&gt;"",VLOOKUP($B60,'Satınalma Takvimi Veri Girişi'!$B$4:$AC$146,19,FALSE),"")</f>
        <v/>
      </c>
      <c r="AI60" s="145" t="str">
        <f>IF(VLOOKUP($B60,'Satınalma Takvimi Veri Girişi'!$B$4:$AC$146,20,FALSE)&lt;&gt;"",VLOOKUP($B60,'Satınalma Takvimi Veri Girişi'!$B$4:$AC$146,20,FALSE),"")</f>
        <v/>
      </c>
      <c r="AJ60" s="144" t="str">
        <f>IF(VLOOKUP($B60,'Satınalma Takvimi Veri Girişi'!$B$4:$AC$146,21,FALSE)&lt;&gt;"",VLOOKUP($B60,'Satınalma Takvimi Veri Girişi'!$B$4:$AC$146,21,FALSE),"")</f>
        <v/>
      </c>
      <c r="AK60" s="146" t="str">
        <f>IF(VLOOKUP($B60,'Satınalma Takvimi Veri Girişi'!$B$4:$AC$146,22,FALSE)&lt;&gt;"",VLOOKUP($B60,'Satınalma Takvimi Veri Girişi'!$B$4:$AC$146,22,FALSE),"")</f>
        <v/>
      </c>
      <c r="AL60" s="147" t="str">
        <f>IF(VLOOKUP($B60,'Satınalma Takvimi Veri Girişi'!$B$4:$AC$146,23,FALSE)&lt;&gt;"",VLOOKUP($B60,'Satınalma Takvimi Veri Girişi'!$B$4:$AC$146,23,FALSE),"")</f>
        <v/>
      </c>
      <c r="AM60" s="147" t="str">
        <f>IF(VLOOKUP($B60,'Satınalma Takvimi Veri Girişi'!$B$4:$AC$146,24,FALSE)&lt;&gt;"",VLOOKUP($B60,'Satınalma Takvimi Veri Girişi'!$B$4:$AC$146,24,FALSE),"")</f>
        <v/>
      </c>
      <c r="AN60" s="147" t="str">
        <f>IF(VLOOKUP($B60,'Satınalma Takvimi Veri Girişi'!$B$4:$AC$146,25,FALSE)&lt;&gt;"",VLOOKUP($B60,'Satınalma Takvimi Veri Girişi'!$B$4:$AC$146,25,FALSE),"")</f>
        <v/>
      </c>
      <c r="AO60" s="147" t="str">
        <f>IF(VLOOKUP($B60,'Satınalma Takvimi Veri Girişi'!$B$4:$AC$146,26,FALSE)&lt;&gt;"",VLOOKUP($B60,'Satınalma Takvimi Veri Girişi'!$B$4:$AC$146,26,FALSE),"")</f>
        <v/>
      </c>
      <c r="AP60" s="147" t="str">
        <f>IF(VLOOKUP($B60,'Satınalma Takvimi Veri Girişi'!$B$4:$AC$146,27,FALSE)&lt;&gt;"",VLOOKUP($B60,'Satınalma Takvimi Veri Girişi'!$B$4:$AC$146,27,FALSE),"")</f>
        <v/>
      </c>
      <c r="AQ60" s="148" t="str">
        <f>IF(VLOOKUP($B60,'Satınalma Takvimi Veri Girişi'!$B$4:$AC$146,28,FALSE)&lt;&gt;"",VLOOKUP($B60,'Satınalma Takvimi Veri Girişi'!$B$4:$AC$146,28,FALSE),"")</f>
        <v/>
      </c>
    </row>
    <row r="61" spans="2:43" ht="19.95" customHeight="1" x14ac:dyDescent="0.3">
      <c r="B61" s="64" t="str">
        <f>Şablon!E60</f>
        <v>IHL.3028.055/1</v>
      </c>
      <c r="C61" s="139" t="str">
        <f>VLOOKUP($B61,Şablon!$E$3:$Q$255,2,FALSE)</f>
        <v>21.02.00 YANGIN KAPISI &amp; ŞAFT KAPAĞI</v>
      </c>
      <c r="D61" s="161" t="str">
        <f>IF(VLOOKUP($B61,'Satınalma Takvimi Veri Girişi'!$B$4:$AC$146,3,FALSE)&lt;&gt;"",VLOOKUP($B61,'Satınalma Takvimi Veri Girişi'!$B$4:$AC$146,3,FALSE),"")</f>
        <v/>
      </c>
      <c r="E61" s="139" t="str">
        <f>VLOOKUP($B61,Şablon!$E$3:$Q$255,3,FALSE)</f>
        <v>B KATEGORİ</v>
      </c>
      <c r="F61" s="140" t="str">
        <f>VLOOKUP($B61,Şablon!$E$3:$Q$255,4,FALSE)</f>
        <v>İNŞ</v>
      </c>
      <c r="G61" s="141">
        <f>VLOOKUP($B61,Şablon!$E$3:$Q$255,5,FALSE)</f>
        <v>0</v>
      </c>
      <c r="H61" s="142" t="str">
        <f t="shared" si="0"/>
        <v/>
      </c>
      <c r="I61" s="143" t="str">
        <f t="shared" si="1"/>
        <v/>
      </c>
      <c r="J61" s="144" t="str">
        <f>IF(VLOOKUP($B61,'Satınalma Takvimi Veri Girişi'!$B$4:$AC$146,7,FALSE)&lt;&gt;"",VLOOKUP($B61,'Satınalma Takvimi Veri Girişi'!$B$4:$AC$146,7,FALSE),"")</f>
        <v/>
      </c>
      <c r="K61" s="141">
        <f>VLOOKUP($B61,Şablon!$E$3:$Q$255,6,FALSE)</f>
        <v>14</v>
      </c>
      <c r="L61" s="142" t="str">
        <f t="shared" si="2"/>
        <v/>
      </c>
      <c r="M61" s="143" t="str">
        <f t="shared" si="3"/>
        <v/>
      </c>
      <c r="N61" s="144" t="str">
        <f>IF(VLOOKUP($B61,'Satınalma Takvimi Veri Girişi'!$B$4:$AC$146,9,FALSE)&lt;&gt;"",VLOOKUP($B61,'Satınalma Takvimi Veri Girişi'!$B$4:$AC$146,9,FALSE),"")</f>
        <v/>
      </c>
      <c r="O61" s="141">
        <f>VLOOKUP($B61,Şablon!$E$3:$Q$255,7,FALSE)</f>
        <v>7</v>
      </c>
      <c r="P61" s="142" t="str">
        <f t="shared" si="4"/>
        <v/>
      </c>
      <c r="Q61" s="143" t="str">
        <f t="shared" si="5"/>
        <v/>
      </c>
      <c r="R61" s="144" t="str">
        <f>IF(VLOOKUP($B61,'Satınalma Takvimi Veri Girişi'!$B$4:$AC$146,11,FALSE)&lt;&gt;"",VLOOKUP($B61,'Satınalma Takvimi Veri Girişi'!$B$4:$AC$146,11,FALSE),"")</f>
        <v/>
      </c>
      <c r="S61" s="141">
        <f>VLOOKUP($B61,Şablon!$E$3:$Q$255,8,FALSE)</f>
        <v>21</v>
      </c>
      <c r="T61" s="142" t="str">
        <f t="shared" si="6"/>
        <v/>
      </c>
      <c r="U61" s="143" t="str">
        <f t="shared" si="7"/>
        <v/>
      </c>
      <c r="V61" s="144" t="str">
        <f>IF(VLOOKUP($B61,'Satınalma Takvimi Veri Girişi'!$B$4:$AC$146,13,FALSE)&lt;&gt;"",VLOOKUP($B61,'Satınalma Takvimi Veri Girişi'!$B$4:$AC$146,13,FALSE),"")</f>
        <v/>
      </c>
      <c r="W61" s="141">
        <f>VLOOKUP($B61,Şablon!$E$3:$Q$255,9,FALSE)</f>
        <v>7</v>
      </c>
      <c r="X61" s="142" t="str">
        <f t="shared" si="8"/>
        <v/>
      </c>
      <c r="Y61" s="143" t="str">
        <f t="shared" si="9"/>
        <v/>
      </c>
      <c r="Z61" s="144" t="str">
        <f>IF(VLOOKUP($B61,'Satınalma Takvimi Veri Girişi'!$B$4:$AC$146,15,FALSE)&lt;&gt;"",VLOOKUP($B61,'Satınalma Takvimi Veri Girişi'!$B$4:$AC$146,15,FALSE),"")</f>
        <v/>
      </c>
      <c r="AA61" s="141">
        <f>VLOOKUP($B61,Şablon!$E$3:$Q$255,10,FALSE)</f>
        <v>14</v>
      </c>
      <c r="AB61" s="142" t="str">
        <f t="shared" si="10"/>
        <v/>
      </c>
      <c r="AC61" s="143" t="str">
        <f t="shared" si="11"/>
        <v/>
      </c>
      <c r="AD61" s="144" t="str">
        <f>IF(VLOOKUP($B61,'Satınalma Takvimi Veri Girişi'!$B$4:$AC$146,17,FALSE)&lt;&gt;"",VLOOKUP($B61,'Satınalma Takvimi Veri Girişi'!$B$4:$AC$146,17,FALSE),"")</f>
        <v/>
      </c>
      <c r="AE61" s="141">
        <f>(VLOOKUP($B61,Şablon!$E$3:$Q$255,11,FALSE)+VLOOKUP($B61,Şablon!$E$3:$Q$255,12,FALSE))</f>
        <v>73</v>
      </c>
      <c r="AF61" s="142" t="str">
        <f t="shared" si="12"/>
        <v/>
      </c>
      <c r="AG61" s="143" t="str">
        <f t="shared" si="13"/>
        <v/>
      </c>
      <c r="AH61" s="144" t="str">
        <f>IF(VLOOKUP($B61,'Satınalma Takvimi Veri Girişi'!$B$4:$AC$146,19,FALSE)&lt;&gt;"",VLOOKUP($B61,'Satınalma Takvimi Veri Girişi'!$B$4:$AC$146,19,FALSE),"")</f>
        <v/>
      </c>
      <c r="AI61" s="145" t="str">
        <f>IF(VLOOKUP($B61,'Satınalma Takvimi Veri Girişi'!$B$4:$AC$146,20,FALSE)&lt;&gt;"",VLOOKUP($B61,'Satınalma Takvimi Veri Girişi'!$B$4:$AC$146,20,FALSE),"")</f>
        <v/>
      </c>
      <c r="AJ61" s="144" t="str">
        <f>IF(VLOOKUP($B61,'Satınalma Takvimi Veri Girişi'!$B$4:$AC$146,21,FALSE)&lt;&gt;"",VLOOKUP($B61,'Satınalma Takvimi Veri Girişi'!$B$4:$AC$146,21,FALSE),"")</f>
        <v/>
      </c>
      <c r="AK61" s="146" t="str">
        <f>IF(VLOOKUP($B61,'Satınalma Takvimi Veri Girişi'!$B$4:$AC$146,22,FALSE)&lt;&gt;"",VLOOKUP($B61,'Satınalma Takvimi Veri Girişi'!$B$4:$AC$146,22,FALSE),"")</f>
        <v/>
      </c>
      <c r="AL61" s="147" t="str">
        <f>IF(VLOOKUP($B61,'Satınalma Takvimi Veri Girişi'!$B$4:$AC$146,23,FALSE)&lt;&gt;"",VLOOKUP($B61,'Satınalma Takvimi Veri Girişi'!$B$4:$AC$146,23,FALSE),"")</f>
        <v/>
      </c>
      <c r="AM61" s="147" t="str">
        <f>IF(VLOOKUP($B61,'Satınalma Takvimi Veri Girişi'!$B$4:$AC$146,24,FALSE)&lt;&gt;"",VLOOKUP($B61,'Satınalma Takvimi Veri Girişi'!$B$4:$AC$146,24,FALSE),"")</f>
        <v/>
      </c>
      <c r="AN61" s="147" t="str">
        <f>IF(VLOOKUP($B61,'Satınalma Takvimi Veri Girişi'!$B$4:$AC$146,25,FALSE)&lt;&gt;"",VLOOKUP($B61,'Satınalma Takvimi Veri Girişi'!$B$4:$AC$146,25,FALSE),"")</f>
        <v/>
      </c>
      <c r="AO61" s="147" t="str">
        <f>IF(VLOOKUP($B61,'Satınalma Takvimi Veri Girişi'!$B$4:$AC$146,26,FALSE)&lt;&gt;"",VLOOKUP($B61,'Satınalma Takvimi Veri Girişi'!$B$4:$AC$146,26,FALSE),"")</f>
        <v/>
      </c>
      <c r="AP61" s="147" t="str">
        <f>IF(VLOOKUP($B61,'Satınalma Takvimi Veri Girişi'!$B$4:$AC$146,27,FALSE)&lt;&gt;"",VLOOKUP($B61,'Satınalma Takvimi Veri Girişi'!$B$4:$AC$146,27,FALSE),"")</f>
        <v/>
      </c>
      <c r="AQ61" s="148" t="str">
        <f>IF(VLOOKUP($B61,'Satınalma Takvimi Veri Girişi'!$B$4:$AC$146,28,FALSE)&lt;&gt;"",VLOOKUP($B61,'Satınalma Takvimi Veri Girişi'!$B$4:$AC$146,28,FALSE),"")</f>
        <v/>
      </c>
    </row>
    <row r="62" spans="2:43" ht="19.95" customHeight="1" x14ac:dyDescent="0.3">
      <c r="B62" s="64" t="str">
        <f>Şablon!E61</f>
        <v>IHL.3028.056/1</v>
      </c>
      <c r="C62" s="139" t="str">
        <f>VLOOKUP($B62,Şablon!$E$3:$Q$255,2,FALSE)</f>
        <v>15.14.00 (M) DUŞ KAROSU MALZEME TEMİNİ</v>
      </c>
      <c r="D62" s="161" t="str">
        <f>IF(VLOOKUP($B62,'Satınalma Takvimi Veri Girişi'!$B$4:$AC$146,3,FALSE)&lt;&gt;"",VLOOKUP($B62,'Satınalma Takvimi Veri Girişi'!$B$4:$AC$146,3,FALSE),"")</f>
        <v/>
      </c>
      <c r="E62" s="139" t="str">
        <f>VLOOKUP($B62,Şablon!$E$3:$Q$255,3,FALSE)</f>
        <v>B KATEGORİ</v>
      </c>
      <c r="F62" s="140" t="str">
        <f>VLOOKUP($B62,Şablon!$E$3:$Q$255,4,FALSE)</f>
        <v>İNŞ</v>
      </c>
      <c r="G62" s="141">
        <f>VLOOKUP($B62,Şablon!$E$3:$Q$255,5,FALSE)</f>
        <v>0</v>
      </c>
      <c r="H62" s="142" t="str">
        <f t="shared" si="0"/>
        <v/>
      </c>
      <c r="I62" s="143" t="str">
        <f t="shared" si="1"/>
        <v/>
      </c>
      <c r="J62" s="144" t="str">
        <f>IF(VLOOKUP($B62,'Satınalma Takvimi Veri Girişi'!$B$4:$AC$146,7,FALSE)&lt;&gt;"",VLOOKUP($B62,'Satınalma Takvimi Veri Girişi'!$B$4:$AC$146,7,FALSE),"")</f>
        <v/>
      </c>
      <c r="K62" s="141">
        <f>VLOOKUP($B62,Şablon!$E$3:$Q$255,6,FALSE)</f>
        <v>14</v>
      </c>
      <c r="L62" s="142" t="str">
        <f t="shared" si="2"/>
        <v/>
      </c>
      <c r="M62" s="143" t="str">
        <f t="shared" si="3"/>
        <v/>
      </c>
      <c r="N62" s="144" t="str">
        <f>IF(VLOOKUP($B62,'Satınalma Takvimi Veri Girişi'!$B$4:$AC$146,9,FALSE)&lt;&gt;"",VLOOKUP($B62,'Satınalma Takvimi Veri Girişi'!$B$4:$AC$146,9,FALSE),"")</f>
        <v/>
      </c>
      <c r="O62" s="141">
        <f>VLOOKUP($B62,Şablon!$E$3:$Q$255,7,FALSE)</f>
        <v>7</v>
      </c>
      <c r="P62" s="142" t="str">
        <f t="shared" si="4"/>
        <v/>
      </c>
      <c r="Q62" s="143" t="str">
        <f t="shared" si="5"/>
        <v/>
      </c>
      <c r="R62" s="144" t="str">
        <f>IF(VLOOKUP($B62,'Satınalma Takvimi Veri Girişi'!$B$4:$AC$146,11,FALSE)&lt;&gt;"",VLOOKUP($B62,'Satınalma Takvimi Veri Girişi'!$B$4:$AC$146,11,FALSE),"")</f>
        <v/>
      </c>
      <c r="S62" s="141">
        <f>VLOOKUP($B62,Şablon!$E$3:$Q$255,8,FALSE)</f>
        <v>14</v>
      </c>
      <c r="T62" s="142" t="str">
        <f t="shared" si="6"/>
        <v/>
      </c>
      <c r="U62" s="143" t="str">
        <f t="shared" si="7"/>
        <v/>
      </c>
      <c r="V62" s="144" t="str">
        <f>IF(VLOOKUP($B62,'Satınalma Takvimi Veri Girişi'!$B$4:$AC$146,13,FALSE)&lt;&gt;"",VLOOKUP($B62,'Satınalma Takvimi Veri Girişi'!$B$4:$AC$146,13,FALSE),"")</f>
        <v/>
      </c>
      <c r="W62" s="141">
        <f>VLOOKUP($B62,Şablon!$E$3:$Q$255,9,FALSE)</f>
        <v>7</v>
      </c>
      <c r="X62" s="142" t="str">
        <f t="shared" si="8"/>
        <v/>
      </c>
      <c r="Y62" s="143" t="str">
        <f t="shared" si="9"/>
        <v/>
      </c>
      <c r="Z62" s="144" t="str">
        <f>IF(VLOOKUP($B62,'Satınalma Takvimi Veri Girişi'!$B$4:$AC$146,15,FALSE)&lt;&gt;"",VLOOKUP($B62,'Satınalma Takvimi Veri Girişi'!$B$4:$AC$146,15,FALSE),"")</f>
        <v/>
      </c>
      <c r="AA62" s="141">
        <f>VLOOKUP($B62,Şablon!$E$3:$Q$255,10,FALSE)</f>
        <v>7</v>
      </c>
      <c r="AB62" s="142" t="str">
        <f t="shared" si="10"/>
        <v/>
      </c>
      <c r="AC62" s="143" t="str">
        <f t="shared" si="11"/>
        <v/>
      </c>
      <c r="AD62" s="144" t="str">
        <f>IF(VLOOKUP($B62,'Satınalma Takvimi Veri Girişi'!$B$4:$AC$146,17,FALSE)&lt;&gt;"",VLOOKUP($B62,'Satınalma Takvimi Veri Girişi'!$B$4:$AC$146,17,FALSE),"")</f>
        <v/>
      </c>
      <c r="AE62" s="141">
        <f>(VLOOKUP($B62,Şablon!$E$3:$Q$255,11,FALSE)+VLOOKUP($B62,Şablon!$E$3:$Q$255,12,FALSE))</f>
        <v>52</v>
      </c>
      <c r="AF62" s="142" t="str">
        <f t="shared" si="12"/>
        <v/>
      </c>
      <c r="AG62" s="143" t="str">
        <f t="shared" si="13"/>
        <v/>
      </c>
      <c r="AH62" s="144" t="str">
        <f>IF(VLOOKUP($B62,'Satınalma Takvimi Veri Girişi'!$B$4:$AC$146,19,FALSE)&lt;&gt;"",VLOOKUP($B62,'Satınalma Takvimi Veri Girişi'!$B$4:$AC$146,19,FALSE),"")</f>
        <v/>
      </c>
      <c r="AI62" s="145" t="str">
        <f>IF(VLOOKUP($B62,'Satınalma Takvimi Veri Girişi'!$B$4:$AC$146,20,FALSE)&lt;&gt;"",VLOOKUP($B62,'Satınalma Takvimi Veri Girişi'!$B$4:$AC$146,20,FALSE),"")</f>
        <v/>
      </c>
      <c r="AJ62" s="144" t="str">
        <f>IF(VLOOKUP($B62,'Satınalma Takvimi Veri Girişi'!$B$4:$AC$146,21,FALSE)&lt;&gt;"",VLOOKUP($B62,'Satınalma Takvimi Veri Girişi'!$B$4:$AC$146,21,FALSE),"")</f>
        <v/>
      </c>
      <c r="AK62" s="146" t="str">
        <f>IF(VLOOKUP($B62,'Satınalma Takvimi Veri Girişi'!$B$4:$AC$146,22,FALSE)&lt;&gt;"",VLOOKUP($B62,'Satınalma Takvimi Veri Girişi'!$B$4:$AC$146,22,FALSE),"")</f>
        <v/>
      </c>
      <c r="AL62" s="147" t="str">
        <f>IF(VLOOKUP($B62,'Satınalma Takvimi Veri Girişi'!$B$4:$AC$146,23,FALSE)&lt;&gt;"",VLOOKUP($B62,'Satınalma Takvimi Veri Girişi'!$B$4:$AC$146,23,FALSE),"")</f>
        <v/>
      </c>
      <c r="AM62" s="147" t="str">
        <f>IF(VLOOKUP($B62,'Satınalma Takvimi Veri Girişi'!$B$4:$AC$146,24,FALSE)&lt;&gt;"",VLOOKUP($B62,'Satınalma Takvimi Veri Girişi'!$B$4:$AC$146,24,FALSE),"")</f>
        <v/>
      </c>
      <c r="AN62" s="147" t="str">
        <f>IF(VLOOKUP($B62,'Satınalma Takvimi Veri Girişi'!$B$4:$AC$146,25,FALSE)&lt;&gt;"",VLOOKUP($B62,'Satınalma Takvimi Veri Girişi'!$B$4:$AC$146,25,FALSE),"")</f>
        <v/>
      </c>
      <c r="AO62" s="147" t="str">
        <f>IF(VLOOKUP($B62,'Satınalma Takvimi Veri Girişi'!$B$4:$AC$146,26,FALSE)&lt;&gt;"",VLOOKUP($B62,'Satınalma Takvimi Veri Girişi'!$B$4:$AC$146,26,FALSE),"")</f>
        <v/>
      </c>
      <c r="AP62" s="147" t="str">
        <f>IF(VLOOKUP($B62,'Satınalma Takvimi Veri Girişi'!$B$4:$AC$146,27,FALSE)&lt;&gt;"",VLOOKUP($B62,'Satınalma Takvimi Veri Girişi'!$B$4:$AC$146,27,FALSE),"")</f>
        <v/>
      </c>
      <c r="AQ62" s="148" t="str">
        <f>IF(VLOOKUP($B62,'Satınalma Takvimi Veri Girişi'!$B$4:$AC$146,28,FALSE)&lt;&gt;"",VLOOKUP($B62,'Satınalma Takvimi Veri Girişi'!$B$4:$AC$146,28,FALSE),"")</f>
        <v/>
      </c>
    </row>
    <row r="63" spans="2:43" ht="19.95" customHeight="1" x14ac:dyDescent="0.3">
      <c r="B63" s="64" t="str">
        <f>Şablon!E62</f>
        <v>IHL.3028.057/1</v>
      </c>
      <c r="C63" s="139" t="str">
        <f>VLOOKUP($B63,Şablon!$E$3:$Q$255,2,FALSE)</f>
        <v>25.01.00 MUTFAK DOLABI</v>
      </c>
      <c r="D63" s="161" t="str">
        <f>IF(VLOOKUP($B63,'Satınalma Takvimi Veri Girişi'!$B$4:$AC$146,3,FALSE)&lt;&gt;"",VLOOKUP($B63,'Satınalma Takvimi Veri Girişi'!$B$4:$AC$146,3,FALSE),"")</f>
        <v/>
      </c>
      <c r="E63" s="139" t="str">
        <f>VLOOKUP($B63,Şablon!$E$3:$Q$255,3,FALSE)</f>
        <v>A KATEGORİ</v>
      </c>
      <c r="F63" s="140" t="str">
        <f>VLOOKUP($B63,Şablon!$E$3:$Q$255,4,FALSE)</f>
        <v>İNŞ</v>
      </c>
      <c r="G63" s="141">
        <f>VLOOKUP($B63,Şablon!$E$3:$Q$255,5,FALSE)</f>
        <v>0</v>
      </c>
      <c r="H63" s="142" t="str">
        <f t="shared" si="0"/>
        <v/>
      </c>
      <c r="I63" s="143" t="str">
        <f t="shared" si="1"/>
        <v/>
      </c>
      <c r="J63" s="144" t="str">
        <f>IF(VLOOKUP($B63,'Satınalma Takvimi Veri Girişi'!$B$4:$AC$146,7,FALSE)&lt;&gt;"",VLOOKUP($B63,'Satınalma Takvimi Veri Girişi'!$B$4:$AC$146,7,FALSE),"")</f>
        <v/>
      </c>
      <c r="K63" s="141">
        <f>VLOOKUP($B63,Şablon!$E$3:$Q$255,6,FALSE)</f>
        <v>14</v>
      </c>
      <c r="L63" s="142" t="str">
        <f t="shared" si="2"/>
        <v/>
      </c>
      <c r="M63" s="143" t="str">
        <f t="shared" si="3"/>
        <v/>
      </c>
      <c r="N63" s="144" t="str">
        <f>IF(VLOOKUP($B63,'Satınalma Takvimi Veri Girişi'!$B$4:$AC$146,9,FALSE)&lt;&gt;"",VLOOKUP($B63,'Satınalma Takvimi Veri Girişi'!$B$4:$AC$146,9,FALSE),"")</f>
        <v/>
      </c>
      <c r="O63" s="141">
        <f>VLOOKUP($B63,Şablon!$E$3:$Q$255,7,FALSE)</f>
        <v>14</v>
      </c>
      <c r="P63" s="142" t="str">
        <f t="shared" si="4"/>
        <v/>
      </c>
      <c r="Q63" s="143" t="str">
        <f t="shared" si="5"/>
        <v/>
      </c>
      <c r="R63" s="144" t="str">
        <f>IF(VLOOKUP($B63,'Satınalma Takvimi Veri Girişi'!$B$4:$AC$146,11,FALSE)&lt;&gt;"",VLOOKUP($B63,'Satınalma Takvimi Veri Girişi'!$B$4:$AC$146,11,FALSE),"")</f>
        <v/>
      </c>
      <c r="S63" s="141">
        <f>VLOOKUP($B63,Şablon!$E$3:$Q$255,8,FALSE)</f>
        <v>45</v>
      </c>
      <c r="T63" s="142" t="str">
        <f t="shared" si="6"/>
        <v/>
      </c>
      <c r="U63" s="143" t="str">
        <f t="shared" si="7"/>
        <v/>
      </c>
      <c r="V63" s="144" t="str">
        <f>IF(VLOOKUP($B63,'Satınalma Takvimi Veri Girişi'!$B$4:$AC$146,13,FALSE)&lt;&gt;"",VLOOKUP($B63,'Satınalma Takvimi Veri Girişi'!$B$4:$AC$146,13,FALSE),"")</f>
        <v/>
      </c>
      <c r="W63" s="141">
        <f>VLOOKUP($B63,Şablon!$E$3:$Q$255,9,FALSE)</f>
        <v>10</v>
      </c>
      <c r="X63" s="142" t="str">
        <f t="shared" si="8"/>
        <v/>
      </c>
      <c r="Y63" s="143" t="str">
        <f t="shared" si="9"/>
        <v/>
      </c>
      <c r="Z63" s="144" t="str">
        <f>IF(VLOOKUP($B63,'Satınalma Takvimi Veri Girişi'!$B$4:$AC$146,15,FALSE)&lt;&gt;"",VLOOKUP($B63,'Satınalma Takvimi Veri Girişi'!$B$4:$AC$146,15,FALSE),"")</f>
        <v/>
      </c>
      <c r="AA63" s="141">
        <f>VLOOKUP($B63,Şablon!$E$3:$Q$255,10,FALSE)</f>
        <v>21</v>
      </c>
      <c r="AB63" s="142" t="str">
        <f t="shared" si="10"/>
        <v/>
      </c>
      <c r="AC63" s="143" t="str">
        <f t="shared" si="11"/>
        <v/>
      </c>
      <c r="AD63" s="144" t="str">
        <f>IF(VLOOKUP($B63,'Satınalma Takvimi Veri Girişi'!$B$4:$AC$146,17,FALSE)&lt;&gt;"",VLOOKUP($B63,'Satınalma Takvimi Veri Girişi'!$B$4:$AC$146,17,FALSE),"")</f>
        <v/>
      </c>
      <c r="AE63" s="141">
        <f>(VLOOKUP($B63,Şablon!$E$3:$Q$255,11,FALSE)+VLOOKUP($B63,Şablon!$E$3:$Q$255,12,FALSE))</f>
        <v>88</v>
      </c>
      <c r="AF63" s="142" t="str">
        <f t="shared" si="12"/>
        <v/>
      </c>
      <c r="AG63" s="143" t="str">
        <f t="shared" si="13"/>
        <v/>
      </c>
      <c r="AH63" s="144" t="str">
        <f>IF(VLOOKUP($B63,'Satınalma Takvimi Veri Girişi'!$B$4:$AC$146,19,FALSE)&lt;&gt;"",VLOOKUP($B63,'Satınalma Takvimi Veri Girişi'!$B$4:$AC$146,19,FALSE),"")</f>
        <v/>
      </c>
      <c r="AI63" s="145" t="str">
        <f>IF(VLOOKUP($B63,'Satınalma Takvimi Veri Girişi'!$B$4:$AC$146,20,FALSE)&lt;&gt;"",VLOOKUP($B63,'Satınalma Takvimi Veri Girişi'!$B$4:$AC$146,20,FALSE),"")</f>
        <v/>
      </c>
      <c r="AJ63" s="144" t="str">
        <f>IF(VLOOKUP($B63,'Satınalma Takvimi Veri Girişi'!$B$4:$AC$146,21,FALSE)&lt;&gt;"",VLOOKUP($B63,'Satınalma Takvimi Veri Girişi'!$B$4:$AC$146,21,FALSE),"")</f>
        <v/>
      </c>
      <c r="AK63" s="146" t="str">
        <f>IF(VLOOKUP($B63,'Satınalma Takvimi Veri Girişi'!$B$4:$AC$146,22,FALSE)&lt;&gt;"",VLOOKUP($B63,'Satınalma Takvimi Veri Girişi'!$B$4:$AC$146,22,FALSE),"")</f>
        <v/>
      </c>
      <c r="AL63" s="147" t="str">
        <f>IF(VLOOKUP($B63,'Satınalma Takvimi Veri Girişi'!$B$4:$AC$146,23,FALSE)&lt;&gt;"",VLOOKUP($B63,'Satınalma Takvimi Veri Girişi'!$B$4:$AC$146,23,FALSE),"")</f>
        <v/>
      </c>
      <c r="AM63" s="147" t="str">
        <f>IF(VLOOKUP($B63,'Satınalma Takvimi Veri Girişi'!$B$4:$AC$146,24,FALSE)&lt;&gt;"",VLOOKUP($B63,'Satınalma Takvimi Veri Girişi'!$B$4:$AC$146,24,FALSE),"")</f>
        <v/>
      </c>
      <c r="AN63" s="147" t="str">
        <f>IF(VLOOKUP($B63,'Satınalma Takvimi Veri Girişi'!$B$4:$AC$146,25,FALSE)&lt;&gt;"",VLOOKUP($B63,'Satınalma Takvimi Veri Girişi'!$B$4:$AC$146,25,FALSE),"")</f>
        <v/>
      </c>
      <c r="AO63" s="147" t="str">
        <f>IF(VLOOKUP($B63,'Satınalma Takvimi Veri Girişi'!$B$4:$AC$146,26,FALSE)&lt;&gt;"",VLOOKUP($B63,'Satınalma Takvimi Veri Girişi'!$B$4:$AC$146,26,FALSE),"")</f>
        <v/>
      </c>
      <c r="AP63" s="147" t="str">
        <f>IF(VLOOKUP($B63,'Satınalma Takvimi Veri Girişi'!$B$4:$AC$146,27,FALSE)&lt;&gt;"",VLOOKUP($B63,'Satınalma Takvimi Veri Girişi'!$B$4:$AC$146,27,FALSE),"")</f>
        <v/>
      </c>
      <c r="AQ63" s="148" t="str">
        <f>IF(VLOOKUP($B63,'Satınalma Takvimi Veri Girişi'!$B$4:$AC$146,28,FALSE)&lt;&gt;"",VLOOKUP($B63,'Satınalma Takvimi Veri Girişi'!$B$4:$AC$146,28,FALSE),"")</f>
        <v/>
      </c>
    </row>
    <row r="64" spans="2:43" ht="19.95" customHeight="1" x14ac:dyDescent="0.3">
      <c r="B64" s="64" t="str">
        <f>Şablon!E63</f>
        <v>IHL.3028.058/1</v>
      </c>
      <c r="C64" s="139" t="str">
        <f>VLOOKUP($B64,Şablon!$E$3:$Q$255,2,FALSE)</f>
        <v>15.14.07 (M) ANKASTRE CİHAZ MALZEME TEMİNİ</v>
      </c>
      <c r="D64" s="161" t="str">
        <f>IF(VLOOKUP($B64,'Satınalma Takvimi Veri Girişi'!$B$4:$AC$146,3,FALSE)&lt;&gt;"",VLOOKUP($B64,'Satınalma Takvimi Veri Girişi'!$B$4:$AC$146,3,FALSE),"")</f>
        <v/>
      </c>
      <c r="E64" s="139" t="str">
        <f>VLOOKUP($B64,Şablon!$E$3:$Q$255,3,FALSE)</f>
        <v>A KATEGORİ</v>
      </c>
      <c r="F64" s="140" t="str">
        <f>VLOOKUP($B64,Şablon!$E$3:$Q$255,4,FALSE)</f>
        <v>İNŞ</v>
      </c>
      <c r="G64" s="141">
        <f>VLOOKUP($B64,Şablon!$E$3:$Q$255,5,FALSE)</f>
        <v>0</v>
      </c>
      <c r="H64" s="142" t="str">
        <f t="shared" si="0"/>
        <v/>
      </c>
      <c r="I64" s="143" t="str">
        <f t="shared" si="1"/>
        <v/>
      </c>
      <c r="J64" s="144" t="str">
        <f>IF(VLOOKUP($B64,'Satınalma Takvimi Veri Girişi'!$B$4:$AC$146,7,FALSE)&lt;&gt;"",VLOOKUP($B64,'Satınalma Takvimi Veri Girişi'!$B$4:$AC$146,7,FALSE),"")</f>
        <v/>
      </c>
      <c r="K64" s="141">
        <f>VLOOKUP($B64,Şablon!$E$3:$Q$255,6,FALSE)</f>
        <v>14</v>
      </c>
      <c r="L64" s="142" t="str">
        <f t="shared" si="2"/>
        <v/>
      </c>
      <c r="M64" s="143" t="str">
        <f t="shared" si="3"/>
        <v/>
      </c>
      <c r="N64" s="144" t="str">
        <f>IF(VLOOKUP($B64,'Satınalma Takvimi Veri Girişi'!$B$4:$AC$146,9,FALSE)&lt;&gt;"",VLOOKUP($B64,'Satınalma Takvimi Veri Girişi'!$B$4:$AC$146,9,FALSE),"")</f>
        <v/>
      </c>
      <c r="O64" s="141">
        <f>VLOOKUP($B64,Şablon!$E$3:$Q$255,7,FALSE)</f>
        <v>7</v>
      </c>
      <c r="P64" s="142" t="str">
        <f t="shared" si="4"/>
        <v/>
      </c>
      <c r="Q64" s="143" t="str">
        <f t="shared" si="5"/>
        <v/>
      </c>
      <c r="R64" s="144" t="str">
        <f>IF(VLOOKUP($B64,'Satınalma Takvimi Veri Girişi'!$B$4:$AC$146,11,FALSE)&lt;&gt;"",VLOOKUP($B64,'Satınalma Takvimi Veri Girişi'!$B$4:$AC$146,11,FALSE),"")</f>
        <v/>
      </c>
      <c r="S64" s="141">
        <f>VLOOKUP($B64,Şablon!$E$3:$Q$255,8,FALSE)</f>
        <v>14</v>
      </c>
      <c r="T64" s="142" t="str">
        <f t="shared" si="6"/>
        <v/>
      </c>
      <c r="U64" s="143" t="str">
        <f t="shared" si="7"/>
        <v/>
      </c>
      <c r="V64" s="144" t="str">
        <f>IF(VLOOKUP($B64,'Satınalma Takvimi Veri Girişi'!$B$4:$AC$146,13,FALSE)&lt;&gt;"",VLOOKUP($B64,'Satınalma Takvimi Veri Girişi'!$B$4:$AC$146,13,FALSE),"")</f>
        <v/>
      </c>
      <c r="W64" s="141">
        <f>VLOOKUP($B64,Şablon!$E$3:$Q$255,9,FALSE)</f>
        <v>10</v>
      </c>
      <c r="X64" s="142" t="str">
        <f t="shared" si="8"/>
        <v/>
      </c>
      <c r="Y64" s="143" t="str">
        <f t="shared" si="9"/>
        <v/>
      </c>
      <c r="Z64" s="144" t="str">
        <f>IF(VLOOKUP($B64,'Satınalma Takvimi Veri Girişi'!$B$4:$AC$146,15,FALSE)&lt;&gt;"",VLOOKUP($B64,'Satınalma Takvimi Veri Girişi'!$B$4:$AC$146,15,FALSE),"")</f>
        <v/>
      </c>
      <c r="AA64" s="141">
        <f>VLOOKUP($B64,Şablon!$E$3:$Q$255,10,FALSE)</f>
        <v>14</v>
      </c>
      <c r="AB64" s="142" t="str">
        <f t="shared" si="10"/>
        <v/>
      </c>
      <c r="AC64" s="143" t="str">
        <f t="shared" si="11"/>
        <v/>
      </c>
      <c r="AD64" s="144" t="str">
        <f>IF(VLOOKUP($B64,'Satınalma Takvimi Veri Girişi'!$B$4:$AC$146,17,FALSE)&lt;&gt;"",VLOOKUP($B64,'Satınalma Takvimi Veri Girişi'!$B$4:$AC$146,17,FALSE),"")</f>
        <v/>
      </c>
      <c r="AE64" s="141">
        <f>(VLOOKUP($B64,Şablon!$E$3:$Q$255,11,FALSE)+VLOOKUP($B64,Şablon!$E$3:$Q$255,12,FALSE))</f>
        <v>97</v>
      </c>
      <c r="AF64" s="142" t="str">
        <f t="shared" si="12"/>
        <v/>
      </c>
      <c r="AG64" s="143" t="str">
        <f t="shared" si="13"/>
        <v/>
      </c>
      <c r="AH64" s="144" t="str">
        <f>IF(VLOOKUP($B64,'Satınalma Takvimi Veri Girişi'!$B$4:$AC$146,19,FALSE)&lt;&gt;"",VLOOKUP($B64,'Satınalma Takvimi Veri Girişi'!$B$4:$AC$146,19,FALSE),"")</f>
        <v/>
      </c>
      <c r="AI64" s="145" t="str">
        <f>IF(VLOOKUP($B64,'Satınalma Takvimi Veri Girişi'!$B$4:$AC$146,20,FALSE)&lt;&gt;"",VLOOKUP($B64,'Satınalma Takvimi Veri Girişi'!$B$4:$AC$146,20,FALSE),"")</f>
        <v/>
      </c>
      <c r="AJ64" s="144" t="str">
        <f>IF(VLOOKUP($B64,'Satınalma Takvimi Veri Girişi'!$B$4:$AC$146,21,FALSE)&lt;&gt;"",VLOOKUP($B64,'Satınalma Takvimi Veri Girişi'!$B$4:$AC$146,21,FALSE),"")</f>
        <v/>
      </c>
      <c r="AK64" s="146" t="str">
        <f>IF(VLOOKUP($B64,'Satınalma Takvimi Veri Girişi'!$B$4:$AC$146,22,FALSE)&lt;&gt;"",VLOOKUP($B64,'Satınalma Takvimi Veri Girişi'!$B$4:$AC$146,22,FALSE),"")</f>
        <v/>
      </c>
      <c r="AL64" s="147" t="str">
        <f>IF(VLOOKUP($B64,'Satınalma Takvimi Veri Girişi'!$B$4:$AC$146,23,FALSE)&lt;&gt;"",VLOOKUP($B64,'Satınalma Takvimi Veri Girişi'!$B$4:$AC$146,23,FALSE),"")</f>
        <v/>
      </c>
      <c r="AM64" s="147" t="str">
        <f>IF(VLOOKUP($B64,'Satınalma Takvimi Veri Girişi'!$B$4:$AC$146,24,FALSE)&lt;&gt;"",VLOOKUP($B64,'Satınalma Takvimi Veri Girişi'!$B$4:$AC$146,24,FALSE),"")</f>
        <v/>
      </c>
      <c r="AN64" s="147" t="str">
        <f>IF(VLOOKUP($B64,'Satınalma Takvimi Veri Girişi'!$B$4:$AC$146,25,FALSE)&lt;&gt;"",VLOOKUP($B64,'Satınalma Takvimi Veri Girişi'!$B$4:$AC$146,25,FALSE),"")</f>
        <v/>
      </c>
      <c r="AO64" s="147" t="str">
        <f>IF(VLOOKUP($B64,'Satınalma Takvimi Veri Girişi'!$B$4:$AC$146,26,FALSE)&lt;&gt;"",VLOOKUP($B64,'Satınalma Takvimi Veri Girişi'!$B$4:$AC$146,26,FALSE),"")</f>
        <v/>
      </c>
      <c r="AP64" s="147" t="str">
        <f>IF(VLOOKUP($B64,'Satınalma Takvimi Veri Girişi'!$B$4:$AC$146,27,FALSE)&lt;&gt;"",VLOOKUP($B64,'Satınalma Takvimi Veri Girişi'!$B$4:$AC$146,27,FALSE),"")</f>
        <v/>
      </c>
      <c r="AQ64" s="148" t="str">
        <f>IF(VLOOKUP($B64,'Satınalma Takvimi Veri Girişi'!$B$4:$AC$146,28,FALSE)&lt;&gt;"",VLOOKUP($B64,'Satınalma Takvimi Veri Girişi'!$B$4:$AC$146,28,FALSE),"")</f>
        <v/>
      </c>
    </row>
    <row r="65" spans="2:43" ht="19.95" customHeight="1" x14ac:dyDescent="0.3">
      <c r="B65" s="64" t="str">
        <f>Şablon!E64</f>
        <v>IHL.3028.059/1</v>
      </c>
      <c r="C65" s="139" t="str">
        <f>VLOOKUP($B65,Şablon!$E$3:$Q$255,2,FALSE)</f>
        <v>25.02.00 (M) KAYAR KAPI MEKANİZMASI</v>
      </c>
      <c r="D65" s="161" t="str">
        <f>IF(VLOOKUP($B65,'Satınalma Takvimi Veri Girişi'!$B$4:$AC$146,3,FALSE)&lt;&gt;"",VLOOKUP($B65,'Satınalma Takvimi Veri Girişi'!$B$4:$AC$146,3,FALSE),"")</f>
        <v/>
      </c>
      <c r="E65" s="139" t="str">
        <f>VLOOKUP($B65,Şablon!$E$3:$Q$255,3,FALSE)</f>
        <v>B KATEGORİ</v>
      </c>
      <c r="F65" s="140" t="str">
        <f>VLOOKUP($B65,Şablon!$E$3:$Q$255,4,FALSE)</f>
        <v>İNŞ</v>
      </c>
      <c r="G65" s="141">
        <f>VLOOKUP($B65,Şablon!$E$3:$Q$255,5,FALSE)</f>
        <v>0</v>
      </c>
      <c r="H65" s="142" t="str">
        <f t="shared" si="0"/>
        <v/>
      </c>
      <c r="I65" s="143" t="str">
        <f t="shared" si="1"/>
        <v/>
      </c>
      <c r="J65" s="144" t="str">
        <f>IF(VLOOKUP($B65,'Satınalma Takvimi Veri Girişi'!$B$4:$AC$146,7,FALSE)&lt;&gt;"",VLOOKUP($B65,'Satınalma Takvimi Veri Girişi'!$B$4:$AC$146,7,FALSE),"")</f>
        <v/>
      </c>
      <c r="K65" s="141">
        <f>VLOOKUP($B65,Şablon!$E$3:$Q$255,6,FALSE)</f>
        <v>14</v>
      </c>
      <c r="L65" s="142" t="str">
        <f t="shared" si="2"/>
        <v/>
      </c>
      <c r="M65" s="143" t="str">
        <f t="shared" si="3"/>
        <v/>
      </c>
      <c r="N65" s="144" t="str">
        <f>IF(VLOOKUP($B65,'Satınalma Takvimi Veri Girişi'!$B$4:$AC$146,9,FALSE)&lt;&gt;"",VLOOKUP($B65,'Satınalma Takvimi Veri Girişi'!$B$4:$AC$146,9,FALSE),"")</f>
        <v/>
      </c>
      <c r="O65" s="141">
        <f>VLOOKUP($B65,Şablon!$E$3:$Q$255,7,FALSE)</f>
        <v>7</v>
      </c>
      <c r="P65" s="142" t="str">
        <f t="shared" si="4"/>
        <v/>
      </c>
      <c r="Q65" s="143" t="str">
        <f t="shared" si="5"/>
        <v/>
      </c>
      <c r="R65" s="144" t="str">
        <f>IF(VLOOKUP($B65,'Satınalma Takvimi Veri Girişi'!$B$4:$AC$146,11,FALSE)&lt;&gt;"",VLOOKUP($B65,'Satınalma Takvimi Veri Girişi'!$B$4:$AC$146,11,FALSE),"")</f>
        <v/>
      </c>
      <c r="S65" s="141">
        <f>VLOOKUP($B65,Şablon!$E$3:$Q$255,8,FALSE)</f>
        <v>21</v>
      </c>
      <c r="T65" s="142" t="str">
        <f t="shared" si="6"/>
        <v/>
      </c>
      <c r="U65" s="143" t="str">
        <f t="shared" si="7"/>
        <v/>
      </c>
      <c r="V65" s="144" t="str">
        <f>IF(VLOOKUP($B65,'Satınalma Takvimi Veri Girişi'!$B$4:$AC$146,13,FALSE)&lt;&gt;"",VLOOKUP($B65,'Satınalma Takvimi Veri Girişi'!$B$4:$AC$146,13,FALSE),"")</f>
        <v/>
      </c>
      <c r="W65" s="141">
        <f>VLOOKUP($B65,Şablon!$E$3:$Q$255,9,FALSE)</f>
        <v>7</v>
      </c>
      <c r="X65" s="142" t="str">
        <f t="shared" si="8"/>
        <v/>
      </c>
      <c r="Y65" s="143" t="str">
        <f t="shared" si="9"/>
        <v/>
      </c>
      <c r="Z65" s="144" t="str">
        <f>IF(VLOOKUP($B65,'Satınalma Takvimi Veri Girişi'!$B$4:$AC$146,15,FALSE)&lt;&gt;"",VLOOKUP($B65,'Satınalma Takvimi Veri Girişi'!$B$4:$AC$146,15,FALSE),"")</f>
        <v/>
      </c>
      <c r="AA65" s="141">
        <f>VLOOKUP($B65,Şablon!$E$3:$Q$255,10,FALSE)</f>
        <v>7</v>
      </c>
      <c r="AB65" s="142" t="str">
        <f t="shared" si="10"/>
        <v/>
      </c>
      <c r="AC65" s="143" t="str">
        <f t="shared" si="11"/>
        <v/>
      </c>
      <c r="AD65" s="144" t="str">
        <f>IF(VLOOKUP($B65,'Satınalma Takvimi Veri Girişi'!$B$4:$AC$146,17,FALSE)&lt;&gt;"",VLOOKUP($B65,'Satınalma Takvimi Veri Girişi'!$B$4:$AC$146,17,FALSE),"")</f>
        <v/>
      </c>
      <c r="AE65" s="141">
        <f>(VLOOKUP($B65,Şablon!$E$3:$Q$255,11,FALSE)+VLOOKUP($B65,Şablon!$E$3:$Q$255,12,FALSE))</f>
        <v>35</v>
      </c>
      <c r="AF65" s="142" t="str">
        <f t="shared" si="12"/>
        <v/>
      </c>
      <c r="AG65" s="143" t="str">
        <f t="shared" si="13"/>
        <v/>
      </c>
      <c r="AH65" s="144" t="str">
        <f>IF(VLOOKUP($B65,'Satınalma Takvimi Veri Girişi'!$B$4:$AC$146,19,FALSE)&lt;&gt;"",VLOOKUP($B65,'Satınalma Takvimi Veri Girişi'!$B$4:$AC$146,19,FALSE),"")</f>
        <v/>
      </c>
      <c r="AI65" s="145" t="str">
        <f>IF(VLOOKUP($B65,'Satınalma Takvimi Veri Girişi'!$B$4:$AC$146,20,FALSE)&lt;&gt;"",VLOOKUP($B65,'Satınalma Takvimi Veri Girişi'!$B$4:$AC$146,20,FALSE),"")</f>
        <v/>
      </c>
      <c r="AJ65" s="144" t="str">
        <f>IF(VLOOKUP($B65,'Satınalma Takvimi Veri Girişi'!$B$4:$AC$146,21,FALSE)&lt;&gt;"",VLOOKUP($B65,'Satınalma Takvimi Veri Girişi'!$B$4:$AC$146,21,FALSE),"")</f>
        <v/>
      </c>
      <c r="AK65" s="146" t="str">
        <f>IF(VLOOKUP($B65,'Satınalma Takvimi Veri Girişi'!$B$4:$AC$146,22,FALSE)&lt;&gt;"",VLOOKUP($B65,'Satınalma Takvimi Veri Girişi'!$B$4:$AC$146,22,FALSE),"")</f>
        <v/>
      </c>
      <c r="AL65" s="147" t="str">
        <f>IF(VLOOKUP($B65,'Satınalma Takvimi Veri Girişi'!$B$4:$AC$146,23,FALSE)&lt;&gt;"",VLOOKUP($B65,'Satınalma Takvimi Veri Girişi'!$B$4:$AC$146,23,FALSE),"")</f>
        <v/>
      </c>
      <c r="AM65" s="147" t="str">
        <f>IF(VLOOKUP($B65,'Satınalma Takvimi Veri Girişi'!$B$4:$AC$146,24,FALSE)&lt;&gt;"",VLOOKUP($B65,'Satınalma Takvimi Veri Girişi'!$B$4:$AC$146,24,FALSE),"")</f>
        <v/>
      </c>
      <c r="AN65" s="147" t="str">
        <f>IF(VLOOKUP($B65,'Satınalma Takvimi Veri Girişi'!$B$4:$AC$146,25,FALSE)&lt;&gt;"",VLOOKUP($B65,'Satınalma Takvimi Veri Girişi'!$B$4:$AC$146,25,FALSE),"")</f>
        <v/>
      </c>
      <c r="AO65" s="147" t="str">
        <f>IF(VLOOKUP($B65,'Satınalma Takvimi Veri Girişi'!$B$4:$AC$146,26,FALSE)&lt;&gt;"",VLOOKUP($B65,'Satınalma Takvimi Veri Girişi'!$B$4:$AC$146,26,FALSE),"")</f>
        <v/>
      </c>
      <c r="AP65" s="147" t="str">
        <f>IF(VLOOKUP($B65,'Satınalma Takvimi Veri Girişi'!$B$4:$AC$146,27,FALSE)&lt;&gt;"",VLOOKUP($B65,'Satınalma Takvimi Veri Girişi'!$B$4:$AC$146,27,FALSE),"")</f>
        <v/>
      </c>
      <c r="AQ65" s="148" t="str">
        <f>IF(VLOOKUP($B65,'Satınalma Takvimi Veri Girişi'!$B$4:$AC$146,28,FALSE)&lt;&gt;"",VLOOKUP($B65,'Satınalma Takvimi Veri Girişi'!$B$4:$AC$146,28,FALSE),"")</f>
        <v/>
      </c>
    </row>
    <row r="66" spans="2:43" ht="19.95" customHeight="1" x14ac:dyDescent="0.3">
      <c r="B66" s="64" t="str">
        <f>Şablon!E65</f>
        <v>IHL.3028.060/1</v>
      </c>
      <c r="C66" s="139" t="str">
        <f>VLOOKUP($B66,Şablon!$E$3:$Q$255,2,FALSE)</f>
        <v>19.00.01 BMU TEMİZLİK SEPETİ</v>
      </c>
      <c r="D66" s="161" t="str">
        <f>IF(VLOOKUP($B66,'Satınalma Takvimi Veri Girişi'!$B$4:$AC$146,3,FALSE)&lt;&gt;"",VLOOKUP($B66,'Satınalma Takvimi Veri Girişi'!$B$4:$AC$146,3,FALSE),"")</f>
        <v/>
      </c>
      <c r="E66" s="139" t="str">
        <f>VLOOKUP($B66,Şablon!$E$3:$Q$255,3,FALSE)</f>
        <v>B KATEGORİ</v>
      </c>
      <c r="F66" s="140" t="str">
        <f>VLOOKUP($B66,Şablon!$E$3:$Q$255,4,FALSE)</f>
        <v>İNŞ</v>
      </c>
      <c r="G66" s="141">
        <f>VLOOKUP($B66,Şablon!$E$3:$Q$255,5,FALSE)</f>
        <v>0</v>
      </c>
      <c r="H66" s="142" t="str">
        <f t="shared" si="0"/>
        <v/>
      </c>
      <c r="I66" s="143" t="str">
        <f t="shared" si="1"/>
        <v/>
      </c>
      <c r="J66" s="144" t="str">
        <f>IF(VLOOKUP($B66,'Satınalma Takvimi Veri Girişi'!$B$4:$AC$146,7,FALSE)&lt;&gt;"",VLOOKUP($B66,'Satınalma Takvimi Veri Girişi'!$B$4:$AC$146,7,FALSE),"")</f>
        <v/>
      </c>
      <c r="K66" s="141">
        <f>VLOOKUP($B66,Şablon!$E$3:$Q$255,6,FALSE)</f>
        <v>14</v>
      </c>
      <c r="L66" s="142" t="str">
        <f t="shared" si="2"/>
        <v/>
      </c>
      <c r="M66" s="143" t="str">
        <f t="shared" si="3"/>
        <v/>
      </c>
      <c r="N66" s="144" t="str">
        <f>IF(VLOOKUP($B66,'Satınalma Takvimi Veri Girişi'!$B$4:$AC$146,9,FALSE)&lt;&gt;"",VLOOKUP($B66,'Satınalma Takvimi Veri Girişi'!$B$4:$AC$146,9,FALSE),"")</f>
        <v/>
      </c>
      <c r="O66" s="141">
        <f>VLOOKUP($B66,Şablon!$E$3:$Q$255,7,FALSE)</f>
        <v>14</v>
      </c>
      <c r="P66" s="142" t="str">
        <f t="shared" si="4"/>
        <v/>
      </c>
      <c r="Q66" s="143" t="str">
        <f t="shared" si="5"/>
        <v/>
      </c>
      <c r="R66" s="144" t="str">
        <f>IF(VLOOKUP($B66,'Satınalma Takvimi Veri Girişi'!$B$4:$AC$146,11,FALSE)&lt;&gt;"",VLOOKUP($B66,'Satınalma Takvimi Veri Girişi'!$B$4:$AC$146,11,FALSE),"")</f>
        <v/>
      </c>
      <c r="S66" s="141">
        <f>VLOOKUP($B66,Şablon!$E$3:$Q$255,8,FALSE)</f>
        <v>28</v>
      </c>
      <c r="T66" s="142" t="str">
        <f t="shared" si="6"/>
        <v/>
      </c>
      <c r="U66" s="143" t="str">
        <f t="shared" si="7"/>
        <v/>
      </c>
      <c r="V66" s="144" t="str">
        <f>IF(VLOOKUP($B66,'Satınalma Takvimi Veri Girişi'!$B$4:$AC$146,13,FALSE)&lt;&gt;"",VLOOKUP($B66,'Satınalma Takvimi Veri Girişi'!$B$4:$AC$146,13,FALSE),"")</f>
        <v/>
      </c>
      <c r="W66" s="141">
        <f>VLOOKUP($B66,Şablon!$E$3:$Q$255,9,FALSE)</f>
        <v>7</v>
      </c>
      <c r="X66" s="142" t="str">
        <f t="shared" si="8"/>
        <v/>
      </c>
      <c r="Y66" s="143" t="str">
        <f t="shared" si="9"/>
        <v/>
      </c>
      <c r="Z66" s="144" t="str">
        <f>IF(VLOOKUP($B66,'Satınalma Takvimi Veri Girişi'!$B$4:$AC$146,15,FALSE)&lt;&gt;"",VLOOKUP($B66,'Satınalma Takvimi Veri Girişi'!$B$4:$AC$146,15,FALSE),"")</f>
        <v/>
      </c>
      <c r="AA66" s="141">
        <f>VLOOKUP($B66,Şablon!$E$3:$Q$255,10,FALSE)</f>
        <v>21</v>
      </c>
      <c r="AB66" s="142" t="str">
        <f t="shared" si="10"/>
        <v/>
      </c>
      <c r="AC66" s="143" t="str">
        <f t="shared" si="11"/>
        <v/>
      </c>
      <c r="AD66" s="144" t="str">
        <f>IF(VLOOKUP($B66,'Satınalma Takvimi Veri Girişi'!$B$4:$AC$146,17,FALSE)&lt;&gt;"",VLOOKUP($B66,'Satınalma Takvimi Veri Girişi'!$B$4:$AC$146,17,FALSE),"")</f>
        <v/>
      </c>
      <c r="AE66" s="141">
        <f>(VLOOKUP($B66,Şablon!$E$3:$Q$255,11,FALSE)+VLOOKUP($B66,Şablon!$E$3:$Q$255,12,FALSE))</f>
        <v>42</v>
      </c>
      <c r="AF66" s="142" t="str">
        <f t="shared" si="12"/>
        <v/>
      </c>
      <c r="AG66" s="143" t="str">
        <f t="shared" si="13"/>
        <v/>
      </c>
      <c r="AH66" s="144" t="str">
        <f>IF(VLOOKUP($B66,'Satınalma Takvimi Veri Girişi'!$B$4:$AC$146,19,FALSE)&lt;&gt;"",VLOOKUP($B66,'Satınalma Takvimi Veri Girişi'!$B$4:$AC$146,19,FALSE),"")</f>
        <v/>
      </c>
      <c r="AI66" s="145" t="str">
        <f>IF(VLOOKUP($B66,'Satınalma Takvimi Veri Girişi'!$B$4:$AC$146,20,FALSE)&lt;&gt;"",VLOOKUP($B66,'Satınalma Takvimi Veri Girişi'!$B$4:$AC$146,20,FALSE),"")</f>
        <v/>
      </c>
      <c r="AJ66" s="144" t="str">
        <f>IF(VLOOKUP($B66,'Satınalma Takvimi Veri Girişi'!$B$4:$AC$146,21,FALSE)&lt;&gt;"",VLOOKUP($B66,'Satınalma Takvimi Veri Girişi'!$B$4:$AC$146,21,FALSE),"")</f>
        <v/>
      </c>
      <c r="AK66" s="146" t="str">
        <f>IF(VLOOKUP($B66,'Satınalma Takvimi Veri Girişi'!$B$4:$AC$146,22,FALSE)&lt;&gt;"",VLOOKUP($B66,'Satınalma Takvimi Veri Girişi'!$B$4:$AC$146,22,FALSE),"")</f>
        <v/>
      </c>
      <c r="AL66" s="147" t="str">
        <f>IF(VLOOKUP($B66,'Satınalma Takvimi Veri Girişi'!$B$4:$AC$146,23,FALSE)&lt;&gt;"",VLOOKUP($B66,'Satınalma Takvimi Veri Girişi'!$B$4:$AC$146,23,FALSE),"")</f>
        <v/>
      </c>
      <c r="AM66" s="147" t="str">
        <f>IF(VLOOKUP($B66,'Satınalma Takvimi Veri Girişi'!$B$4:$AC$146,24,FALSE)&lt;&gt;"",VLOOKUP($B66,'Satınalma Takvimi Veri Girişi'!$B$4:$AC$146,24,FALSE),"")</f>
        <v/>
      </c>
      <c r="AN66" s="147" t="str">
        <f>IF(VLOOKUP($B66,'Satınalma Takvimi Veri Girişi'!$B$4:$AC$146,25,FALSE)&lt;&gt;"",VLOOKUP($B66,'Satınalma Takvimi Veri Girişi'!$B$4:$AC$146,25,FALSE),"")</f>
        <v/>
      </c>
      <c r="AO66" s="147" t="str">
        <f>IF(VLOOKUP($B66,'Satınalma Takvimi Veri Girişi'!$B$4:$AC$146,26,FALSE)&lt;&gt;"",VLOOKUP($B66,'Satınalma Takvimi Veri Girişi'!$B$4:$AC$146,26,FALSE),"")</f>
        <v/>
      </c>
      <c r="AP66" s="147" t="str">
        <f>IF(VLOOKUP($B66,'Satınalma Takvimi Veri Girişi'!$B$4:$AC$146,27,FALSE)&lt;&gt;"",VLOOKUP($B66,'Satınalma Takvimi Veri Girişi'!$B$4:$AC$146,27,FALSE),"")</f>
        <v/>
      </c>
      <c r="AQ66" s="148" t="str">
        <f>IF(VLOOKUP($B66,'Satınalma Takvimi Veri Girişi'!$B$4:$AC$146,28,FALSE)&lt;&gt;"",VLOOKUP($B66,'Satınalma Takvimi Veri Girişi'!$B$4:$AC$146,28,FALSE),"")</f>
        <v/>
      </c>
    </row>
    <row r="67" spans="2:43" ht="19.95" customHeight="1" x14ac:dyDescent="0.3">
      <c r="B67" s="64" t="str">
        <f>Şablon!E66</f>
        <v>IHL.3028.061/1</v>
      </c>
      <c r="C67" s="139" t="str">
        <f>VLOOKUP($B67,Şablon!$E$3:$Q$255,2,FALSE)</f>
        <v>13.02.00 ÇELİK KONSTRÜKSİYON</v>
      </c>
      <c r="D67" s="161" t="str">
        <f>IF(VLOOKUP($B67,'Satınalma Takvimi Veri Girişi'!$B$4:$AC$146,3,FALSE)&lt;&gt;"",VLOOKUP($B67,'Satınalma Takvimi Veri Girişi'!$B$4:$AC$146,3,FALSE),"")</f>
        <v/>
      </c>
      <c r="E67" s="139" t="str">
        <f>VLOOKUP($B67,Şablon!$E$3:$Q$255,3,FALSE)</f>
        <v>A KATEGORİ</v>
      </c>
      <c r="F67" s="140" t="str">
        <f>VLOOKUP($B67,Şablon!$E$3:$Q$255,4,FALSE)</f>
        <v>İNŞ</v>
      </c>
      <c r="G67" s="141">
        <f>VLOOKUP($B67,Şablon!$E$3:$Q$255,5,FALSE)</f>
        <v>0</v>
      </c>
      <c r="H67" s="142" t="str">
        <f t="shared" si="0"/>
        <v/>
      </c>
      <c r="I67" s="143" t="str">
        <f t="shared" si="1"/>
        <v/>
      </c>
      <c r="J67" s="144" t="str">
        <f>IF(VLOOKUP($B67,'Satınalma Takvimi Veri Girişi'!$B$4:$AC$146,7,FALSE)&lt;&gt;"",VLOOKUP($B67,'Satınalma Takvimi Veri Girişi'!$B$4:$AC$146,7,FALSE),"")</f>
        <v/>
      </c>
      <c r="K67" s="141">
        <f>VLOOKUP($B67,Şablon!$E$3:$Q$255,6,FALSE)</f>
        <v>14</v>
      </c>
      <c r="L67" s="142" t="str">
        <f t="shared" si="2"/>
        <v/>
      </c>
      <c r="M67" s="143" t="str">
        <f t="shared" si="3"/>
        <v/>
      </c>
      <c r="N67" s="144" t="str">
        <f>IF(VLOOKUP($B67,'Satınalma Takvimi Veri Girişi'!$B$4:$AC$146,9,FALSE)&lt;&gt;"",VLOOKUP($B67,'Satınalma Takvimi Veri Girişi'!$B$4:$AC$146,9,FALSE),"")</f>
        <v/>
      </c>
      <c r="O67" s="141">
        <f>VLOOKUP($B67,Şablon!$E$3:$Q$255,7,FALSE)</f>
        <v>14</v>
      </c>
      <c r="P67" s="142" t="str">
        <f t="shared" si="4"/>
        <v/>
      </c>
      <c r="Q67" s="143" t="str">
        <f t="shared" si="5"/>
        <v/>
      </c>
      <c r="R67" s="144" t="str">
        <f>IF(VLOOKUP($B67,'Satınalma Takvimi Veri Girişi'!$B$4:$AC$146,11,FALSE)&lt;&gt;"",VLOOKUP($B67,'Satınalma Takvimi Veri Girişi'!$B$4:$AC$146,11,FALSE),"")</f>
        <v/>
      </c>
      <c r="S67" s="141">
        <f>VLOOKUP($B67,Şablon!$E$3:$Q$255,8,FALSE)</f>
        <v>28</v>
      </c>
      <c r="T67" s="142" t="str">
        <f t="shared" si="6"/>
        <v/>
      </c>
      <c r="U67" s="143" t="str">
        <f t="shared" si="7"/>
        <v/>
      </c>
      <c r="V67" s="144" t="str">
        <f>IF(VLOOKUP($B67,'Satınalma Takvimi Veri Girişi'!$B$4:$AC$146,13,FALSE)&lt;&gt;"",VLOOKUP($B67,'Satınalma Takvimi Veri Girişi'!$B$4:$AC$146,13,FALSE),"")</f>
        <v/>
      </c>
      <c r="W67" s="141">
        <f>VLOOKUP($B67,Şablon!$E$3:$Q$255,9,FALSE)</f>
        <v>10</v>
      </c>
      <c r="X67" s="142" t="str">
        <f t="shared" si="8"/>
        <v/>
      </c>
      <c r="Y67" s="143" t="str">
        <f t="shared" si="9"/>
        <v/>
      </c>
      <c r="Z67" s="144" t="str">
        <f>IF(VLOOKUP($B67,'Satınalma Takvimi Veri Girişi'!$B$4:$AC$146,15,FALSE)&lt;&gt;"",VLOOKUP($B67,'Satınalma Takvimi Veri Girişi'!$B$4:$AC$146,15,FALSE),"")</f>
        <v/>
      </c>
      <c r="AA67" s="141">
        <f>VLOOKUP($B67,Şablon!$E$3:$Q$255,10,FALSE)</f>
        <v>14</v>
      </c>
      <c r="AB67" s="142" t="str">
        <f t="shared" si="10"/>
        <v/>
      </c>
      <c r="AC67" s="143" t="str">
        <f t="shared" si="11"/>
        <v/>
      </c>
      <c r="AD67" s="144" t="str">
        <f>IF(VLOOKUP($B67,'Satınalma Takvimi Veri Girişi'!$B$4:$AC$146,17,FALSE)&lt;&gt;"",VLOOKUP($B67,'Satınalma Takvimi Veri Girişi'!$B$4:$AC$146,17,FALSE),"")</f>
        <v/>
      </c>
      <c r="AE67" s="141">
        <f>(VLOOKUP($B67,Şablon!$E$3:$Q$255,11,FALSE)+VLOOKUP($B67,Şablon!$E$3:$Q$255,12,FALSE))</f>
        <v>42</v>
      </c>
      <c r="AF67" s="142" t="str">
        <f t="shared" si="12"/>
        <v/>
      </c>
      <c r="AG67" s="143" t="str">
        <f t="shared" si="13"/>
        <v/>
      </c>
      <c r="AH67" s="144" t="str">
        <f>IF(VLOOKUP($B67,'Satınalma Takvimi Veri Girişi'!$B$4:$AC$146,19,FALSE)&lt;&gt;"",VLOOKUP($B67,'Satınalma Takvimi Veri Girişi'!$B$4:$AC$146,19,FALSE),"")</f>
        <v/>
      </c>
      <c r="AI67" s="145" t="str">
        <f>IF(VLOOKUP($B67,'Satınalma Takvimi Veri Girişi'!$B$4:$AC$146,20,FALSE)&lt;&gt;"",VLOOKUP($B67,'Satınalma Takvimi Veri Girişi'!$B$4:$AC$146,20,FALSE),"")</f>
        <v/>
      </c>
      <c r="AJ67" s="144" t="str">
        <f>IF(VLOOKUP($B67,'Satınalma Takvimi Veri Girişi'!$B$4:$AC$146,21,FALSE)&lt;&gt;"",VLOOKUP($B67,'Satınalma Takvimi Veri Girişi'!$B$4:$AC$146,21,FALSE),"")</f>
        <v/>
      </c>
      <c r="AK67" s="146" t="str">
        <f>IF(VLOOKUP($B67,'Satınalma Takvimi Veri Girişi'!$B$4:$AC$146,22,FALSE)&lt;&gt;"",VLOOKUP($B67,'Satınalma Takvimi Veri Girişi'!$B$4:$AC$146,22,FALSE),"")</f>
        <v/>
      </c>
      <c r="AL67" s="147" t="str">
        <f>IF(VLOOKUP($B67,'Satınalma Takvimi Veri Girişi'!$B$4:$AC$146,23,FALSE)&lt;&gt;"",VLOOKUP($B67,'Satınalma Takvimi Veri Girişi'!$B$4:$AC$146,23,FALSE),"")</f>
        <v/>
      </c>
      <c r="AM67" s="147" t="str">
        <f>IF(VLOOKUP($B67,'Satınalma Takvimi Veri Girişi'!$B$4:$AC$146,24,FALSE)&lt;&gt;"",VLOOKUP($B67,'Satınalma Takvimi Veri Girişi'!$B$4:$AC$146,24,FALSE),"")</f>
        <v/>
      </c>
      <c r="AN67" s="147" t="str">
        <f>IF(VLOOKUP($B67,'Satınalma Takvimi Veri Girişi'!$B$4:$AC$146,25,FALSE)&lt;&gt;"",VLOOKUP($B67,'Satınalma Takvimi Veri Girişi'!$B$4:$AC$146,25,FALSE),"")</f>
        <v/>
      </c>
      <c r="AO67" s="147" t="str">
        <f>IF(VLOOKUP($B67,'Satınalma Takvimi Veri Girişi'!$B$4:$AC$146,26,FALSE)&lt;&gt;"",VLOOKUP($B67,'Satınalma Takvimi Veri Girişi'!$B$4:$AC$146,26,FALSE),"")</f>
        <v/>
      </c>
      <c r="AP67" s="147" t="str">
        <f>IF(VLOOKUP($B67,'Satınalma Takvimi Veri Girişi'!$B$4:$AC$146,27,FALSE)&lt;&gt;"",VLOOKUP($B67,'Satınalma Takvimi Veri Girişi'!$B$4:$AC$146,27,FALSE),"")</f>
        <v/>
      </c>
      <c r="AQ67" s="148" t="str">
        <f>IF(VLOOKUP($B67,'Satınalma Takvimi Veri Girişi'!$B$4:$AC$146,28,FALSE)&lt;&gt;"",VLOOKUP($B67,'Satınalma Takvimi Veri Girişi'!$B$4:$AC$146,28,FALSE),"")</f>
        <v/>
      </c>
    </row>
    <row r="68" spans="2:43" ht="19.95" customHeight="1" x14ac:dyDescent="0.3">
      <c r="B68" s="64" t="str">
        <f>Şablon!E67</f>
        <v>IHL.3028.062/1</v>
      </c>
      <c r="C68" s="139" t="str">
        <f>VLOOKUP($B68,Şablon!$E$3:$Q$255,2,FALSE)</f>
        <v>15.10.00 ALÜMİNYUM KORKULUK</v>
      </c>
      <c r="D68" s="161" t="str">
        <f>IF(VLOOKUP($B68,'Satınalma Takvimi Veri Girişi'!$B$4:$AC$146,3,FALSE)&lt;&gt;"",VLOOKUP($B68,'Satınalma Takvimi Veri Girişi'!$B$4:$AC$146,3,FALSE),"")</f>
        <v/>
      </c>
      <c r="E68" s="139" t="str">
        <f>VLOOKUP($B68,Şablon!$E$3:$Q$255,3,FALSE)</f>
        <v>B KATEGORİ</v>
      </c>
      <c r="F68" s="140" t="str">
        <f>VLOOKUP($B68,Şablon!$E$3:$Q$255,4,FALSE)</f>
        <v>İNŞ</v>
      </c>
      <c r="G68" s="141">
        <f>VLOOKUP($B68,Şablon!$E$3:$Q$255,5,FALSE)</f>
        <v>0</v>
      </c>
      <c r="H68" s="142" t="str">
        <f t="shared" si="0"/>
        <v/>
      </c>
      <c r="I68" s="143" t="str">
        <f t="shared" si="1"/>
        <v/>
      </c>
      <c r="J68" s="144" t="str">
        <f>IF(VLOOKUP($B68,'Satınalma Takvimi Veri Girişi'!$B$4:$AC$146,7,FALSE)&lt;&gt;"",VLOOKUP($B68,'Satınalma Takvimi Veri Girişi'!$B$4:$AC$146,7,FALSE),"")</f>
        <v/>
      </c>
      <c r="K68" s="141">
        <f>VLOOKUP($B68,Şablon!$E$3:$Q$255,6,FALSE)</f>
        <v>14</v>
      </c>
      <c r="L68" s="142" t="str">
        <f t="shared" si="2"/>
        <v/>
      </c>
      <c r="M68" s="143" t="str">
        <f t="shared" si="3"/>
        <v/>
      </c>
      <c r="N68" s="144" t="str">
        <f>IF(VLOOKUP($B68,'Satınalma Takvimi Veri Girişi'!$B$4:$AC$146,9,FALSE)&lt;&gt;"",VLOOKUP($B68,'Satınalma Takvimi Veri Girişi'!$B$4:$AC$146,9,FALSE),"")</f>
        <v/>
      </c>
      <c r="O68" s="141">
        <f>VLOOKUP($B68,Şablon!$E$3:$Q$255,7,FALSE)</f>
        <v>7</v>
      </c>
      <c r="P68" s="142" t="str">
        <f t="shared" si="4"/>
        <v/>
      </c>
      <c r="Q68" s="143" t="str">
        <f t="shared" si="5"/>
        <v/>
      </c>
      <c r="R68" s="144" t="str">
        <f>IF(VLOOKUP($B68,'Satınalma Takvimi Veri Girişi'!$B$4:$AC$146,11,FALSE)&lt;&gt;"",VLOOKUP($B68,'Satınalma Takvimi Veri Girişi'!$B$4:$AC$146,11,FALSE),"")</f>
        <v/>
      </c>
      <c r="S68" s="141">
        <f>VLOOKUP($B68,Şablon!$E$3:$Q$255,8,FALSE)</f>
        <v>21</v>
      </c>
      <c r="T68" s="142" t="str">
        <f t="shared" si="6"/>
        <v/>
      </c>
      <c r="U68" s="143" t="str">
        <f t="shared" si="7"/>
        <v/>
      </c>
      <c r="V68" s="144" t="str">
        <f>IF(VLOOKUP($B68,'Satınalma Takvimi Veri Girişi'!$B$4:$AC$146,13,FALSE)&lt;&gt;"",VLOOKUP($B68,'Satınalma Takvimi Veri Girişi'!$B$4:$AC$146,13,FALSE),"")</f>
        <v/>
      </c>
      <c r="W68" s="141">
        <f>VLOOKUP($B68,Şablon!$E$3:$Q$255,9,FALSE)</f>
        <v>7</v>
      </c>
      <c r="X68" s="142" t="str">
        <f t="shared" si="8"/>
        <v/>
      </c>
      <c r="Y68" s="143" t="str">
        <f t="shared" si="9"/>
        <v/>
      </c>
      <c r="Z68" s="144" t="str">
        <f>IF(VLOOKUP($B68,'Satınalma Takvimi Veri Girişi'!$B$4:$AC$146,15,FALSE)&lt;&gt;"",VLOOKUP($B68,'Satınalma Takvimi Veri Girişi'!$B$4:$AC$146,15,FALSE),"")</f>
        <v/>
      </c>
      <c r="AA68" s="141">
        <f>VLOOKUP($B68,Şablon!$E$3:$Q$255,10,FALSE)</f>
        <v>14</v>
      </c>
      <c r="AB68" s="142" t="str">
        <f t="shared" si="10"/>
        <v/>
      </c>
      <c r="AC68" s="143" t="str">
        <f t="shared" si="11"/>
        <v/>
      </c>
      <c r="AD68" s="144" t="str">
        <f>IF(VLOOKUP($B68,'Satınalma Takvimi Veri Girişi'!$B$4:$AC$146,17,FALSE)&lt;&gt;"",VLOOKUP($B68,'Satınalma Takvimi Veri Girişi'!$B$4:$AC$146,17,FALSE),"")</f>
        <v/>
      </c>
      <c r="AE68" s="141">
        <f>(VLOOKUP($B68,Şablon!$E$3:$Q$255,11,FALSE)+VLOOKUP($B68,Şablon!$E$3:$Q$255,12,FALSE))</f>
        <v>28</v>
      </c>
      <c r="AF68" s="142" t="str">
        <f t="shared" si="12"/>
        <v/>
      </c>
      <c r="AG68" s="143" t="str">
        <f t="shared" si="13"/>
        <v/>
      </c>
      <c r="AH68" s="144" t="str">
        <f>IF(VLOOKUP($B68,'Satınalma Takvimi Veri Girişi'!$B$4:$AC$146,19,FALSE)&lt;&gt;"",VLOOKUP($B68,'Satınalma Takvimi Veri Girişi'!$B$4:$AC$146,19,FALSE),"")</f>
        <v/>
      </c>
      <c r="AI68" s="145" t="str">
        <f>IF(VLOOKUP($B68,'Satınalma Takvimi Veri Girişi'!$B$4:$AC$146,20,FALSE)&lt;&gt;"",VLOOKUP($B68,'Satınalma Takvimi Veri Girişi'!$B$4:$AC$146,20,FALSE),"")</f>
        <v/>
      </c>
      <c r="AJ68" s="144" t="str">
        <f>IF(VLOOKUP($B68,'Satınalma Takvimi Veri Girişi'!$B$4:$AC$146,21,FALSE)&lt;&gt;"",VLOOKUP($B68,'Satınalma Takvimi Veri Girişi'!$B$4:$AC$146,21,FALSE),"")</f>
        <v/>
      </c>
      <c r="AK68" s="146" t="str">
        <f>IF(VLOOKUP($B68,'Satınalma Takvimi Veri Girişi'!$B$4:$AC$146,22,FALSE)&lt;&gt;"",VLOOKUP($B68,'Satınalma Takvimi Veri Girişi'!$B$4:$AC$146,22,FALSE),"")</f>
        <v/>
      </c>
      <c r="AL68" s="150" t="str">
        <f>IF(VLOOKUP($B68,'Satınalma Takvimi Veri Girişi'!$B$4:$AC$146,23,FALSE)&lt;&gt;"",VLOOKUP($B68,'Satınalma Takvimi Veri Girişi'!$B$4:$AC$146,23,FALSE),"")</f>
        <v/>
      </c>
      <c r="AM68" s="147" t="str">
        <f>IF(VLOOKUP($B68,'Satınalma Takvimi Veri Girişi'!$B$4:$AC$146,24,FALSE)&lt;&gt;"",VLOOKUP($B68,'Satınalma Takvimi Veri Girişi'!$B$4:$AC$146,24,FALSE),"")</f>
        <v/>
      </c>
      <c r="AN68" s="147" t="str">
        <f>IF(VLOOKUP($B68,'Satınalma Takvimi Veri Girişi'!$B$4:$AC$146,25,FALSE)&lt;&gt;"",VLOOKUP($B68,'Satınalma Takvimi Veri Girişi'!$B$4:$AC$146,25,FALSE),"")</f>
        <v/>
      </c>
      <c r="AO68" s="147" t="str">
        <f>IF(VLOOKUP($B68,'Satınalma Takvimi Veri Girişi'!$B$4:$AC$146,26,FALSE)&lt;&gt;"",VLOOKUP($B68,'Satınalma Takvimi Veri Girişi'!$B$4:$AC$146,26,FALSE),"")</f>
        <v/>
      </c>
      <c r="AP68" s="147" t="str">
        <f>IF(VLOOKUP($B68,'Satınalma Takvimi Veri Girişi'!$B$4:$AC$146,27,FALSE)&lt;&gt;"",VLOOKUP($B68,'Satınalma Takvimi Veri Girişi'!$B$4:$AC$146,27,FALSE),"")</f>
        <v/>
      </c>
      <c r="AQ68" s="148" t="str">
        <f>IF(VLOOKUP($B68,'Satınalma Takvimi Veri Girişi'!$B$4:$AC$146,28,FALSE)&lt;&gt;"",VLOOKUP($B68,'Satınalma Takvimi Veri Girişi'!$B$4:$AC$146,28,FALSE),"")</f>
        <v/>
      </c>
    </row>
    <row r="69" spans="2:43" ht="19.95" customHeight="1" x14ac:dyDescent="0.3">
      <c r="B69" s="64" t="str">
        <f>Şablon!E68</f>
        <v>IHL.3028.063/1</v>
      </c>
      <c r="C69" s="139" t="str">
        <f>VLOOKUP($B69,Şablon!$E$3:$Q$255,2,FALSE)</f>
        <v>23.04.00 PASİF YANGIN DURUDURU</v>
      </c>
      <c r="D69" s="161" t="str">
        <f>IF(VLOOKUP($B69,'Satınalma Takvimi Veri Girişi'!$B$4:$AC$146,3,FALSE)&lt;&gt;"",VLOOKUP($B69,'Satınalma Takvimi Veri Girişi'!$B$4:$AC$146,3,FALSE),"")</f>
        <v/>
      </c>
      <c r="E69" s="139" t="str">
        <f>VLOOKUP($B69,Şablon!$E$3:$Q$255,3,FALSE)</f>
        <v>B KATEGORİ</v>
      </c>
      <c r="F69" s="140" t="str">
        <f>VLOOKUP($B69,Şablon!$E$3:$Q$255,4,FALSE)</f>
        <v>İNŞ</v>
      </c>
      <c r="G69" s="141">
        <f>VLOOKUP($B69,Şablon!$E$3:$Q$255,5,FALSE)</f>
        <v>0</v>
      </c>
      <c r="H69" s="142" t="str">
        <f t="shared" ref="H69:H132" si="14">IFERROR(L69-G69,"")</f>
        <v/>
      </c>
      <c r="I69" s="143" t="str">
        <f t="shared" ref="I69:I132" si="15">IFERROR(N69-J69,"")</f>
        <v/>
      </c>
      <c r="J69" s="144" t="str">
        <f>IF(VLOOKUP($B69,'Satınalma Takvimi Veri Girişi'!$B$4:$AC$146,7,FALSE)&lt;&gt;"",VLOOKUP($B69,'Satınalma Takvimi Veri Girişi'!$B$4:$AC$146,7,FALSE),"")</f>
        <v/>
      </c>
      <c r="K69" s="141">
        <f>VLOOKUP($B69,Şablon!$E$3:$Q$255,6,FALSE)</f>
        <v>14</v>
      </c>
      <c r="L69" s="142" t="str">
        <f t="shared" ref="L69:L132" si="16">IFERROR(P69-K69,"")</f>
        <v/>
      </c>
      <c r="M69" s="143" t="str">
        <f t="shared" ref="M69:M132" si="17">IFERROR(R69-N69,"")</f>
        <v/>
      </c>
      <c r="N69" s="144" t="str">
        <f>IF(VLOOKUP($B69,'Satınalma Takvimi Veri Girişi'!$B$4:$AC$146,9,FALSE)&lt;&gt;"",VLOOKUP($B69,'Satınalma Takvimi Veri Girişi'!$B$4:$AC$146,9,FALSE),"")</f>
        <v/>
      </c>
      <c r="O69" s="141">
        <f>VLOOKUP($B69,Şablon!$E$3:$Q$255,7,FALSE)</f>
        <v>14</v>
      </c>
      <c r="P69" s="142" t="str">
        <f t="shared" ref="P69:P132" si="18">IFERROR(T69-O69,"")</f>
        <v/>
      </c>
      <c r="Q69" s="143" t="str">
        <f t="shared" ref="Q69:Q132" si="19">IFERROR(V69-R69,"")</f>
        <v/>
      </c>
      <c r="R69" s="144" t="str">
        <f>IF(VLOOKUP($B69,'Satınalma Takvimi Veri Girişi'!$B$4:$AC$146,11,FALSE)&lt;&gt;"",VLOOKUP($B69,'Satınalma Takvimi Veri Girişi'!$B$4:$AC$146,11,FALSE),"")</f>
        <v/>
      </c>
      <c r="S69" s="141">
        <f>VLOOKUP($B69,Şablon!$E$3:$Q$255,8,FALSE)</f>
        <v>21</v>
      </c>
      <c r="T69" s="142" t="str">
        <f t="shared" ref="T69:T132" si="20">IFERROR(X69-S69,"")</f>
        <v/>
      </c>
      <c r="U69" s="143" t="str">
        <f t="shared" ref="U69:U132" si="21">IFERROR(Z69-V69,"")</f>
        <v/>
      </c>
      <c r="V69" s="144" t="str">
        <f>IF(VLOOKUP($B69,'Satınalma Takvimi Veri Girişi'!$B$4:$AC$146,13,FALSE)&lt;&gt;"",VLOOKUP($B69,'Satınalma Takvimi Veri Girişi'!$B$4:$AC$146,13,FALSE),"")</f>
        <v/>
      </c>
      <c r="W69" s="141">
        <f>VLOOKUP($B69,Şablon!$E$3:$Q$255,9,FALSE)</f>
        <v>7</v>
      </c>
      <c r="X69" s="142" t="str">
        <f t="shared" ref="X69:X132" si="22">IFERROR(AB69-W69,"")</f>
        <v/>
      </c>
      <c r="Y69" s="143" t="str">
        <f t="shared" ref="Y69:Y132" si="23">IFERROR(AD69-Z69,"")</f>
        <v/>
      </c>
      <c r="Z69" s="144" t="str">
        <f>IF(VLOOKUP($B69,'Satınalma Takvimi Veri Girişi'!$B$4:$AC$146,15,FALSE)&lt;&gt;"",VLOOKUP($B69,'Satınalma Takvimi Veri Girişi'!$B$4:$AC$146,15,FALSE),"")</f>
        <v/>
      </c>
      <c r="AA69" s="141">
        <f>VLOOKUP($B69,Şablon!$E$3:$Q$255,10,FALSE)</f>
        <v>7</v>
      </c>
      <c r="AB69" s="142" t="str">
        <f t="shared" ref="AB69:AB132" si="24">IFERROR(AF69-AA69,"")</f>
        <v/>
      </c>
      <c r="AC69" s="143" t="str">
        <f t="shared" ref="AC69:AC132" si="25">IFERROR(AH69-AD69,"")</f>
        <v/>
      </c>
      <c r="AD69" s="144" t="str">
        <f>IF(VLOOKUP($B69,'Satınalma Takvimi Veri Girişi'!$B$4:$AC$146,17,FALSE)&lt;&gt;"",VLOOKUP($B69,'Satınalma Takvimi Veri Girişi'!$B$4:$AC$146,17,FALSE),"")</f>
        <v/>
      </c>
      <c r="AE69" s="141">
        <f>(VLOOKUP($B69,Şablon!$E$3:$Q$255,11,FALSE)+VLOOKUP($B69,Şablon!$E$3:$Q$255,12,FALSE))</f>
        <v>28</v>
      </c>
      <c r="AF69" s="142" t="str">
        <f t="shared" ref="AF69:AF132" si="26">IFERROR(AI69-AE69,"")</f>
        <v/>
      </c>
      <c r="AG69" s="143" t="str">
        <f t="shared" ref="AG69:AG132" si="27">IFERROR(AJ69-AH69,"")</f>
        <v/>
      </c>
      <c r="AH69" s="144" t="str">
        <f>IF(VLOOKUP($B69,'Satınalma Takvimi Veri Girişi'!$B$4:$AC$146,19,FALSE)&lt;&gt;"",VLOOKUP($B69,'Satınalma Takvimi Veri Girişi'!$B$4:$AC$146,19,FALSE),"")</f>
        <v/>
      </c>
      <c r="AI69" s="145" t="str">
        <f>IF(VLOOKUP($B69,'Satınalma Takvimi Veri Girişi'!$B$4:$AC$146,20,FALSE)&lt;&gt;"",VLOOKUP($B69,'Satınalma Takvimi Veri Girişi'!$B$4:$AC$146,20,FALSE),"")</f>
        <v/>
      </c>
      <c r="AJ69" s="144" t="str">
        <f>IF(VLOOKUP($B69,'Satınalma Takvimi Veri Girişi'!$B$4:$AC$146,21,FALSE)&lt;&gt;"",VLOOKUP($B69,'Satınalma Takvimi Veri Girişi'!$B$4:$AC$146,21,FALSE),"")</f>
        <v/>
      </c>
      <c r="AK69" s="146" t="str">
        <f>IF(VLOOKUP($B69,'Satınalma Takvimi Veri Girişi'!$B$4:$AC$146,22,FALSE)&lt;&gt;"",VLOOKUP($B69,'Satınalma Takvimi Veri Girişi'!$B$4:$AC$146,22,FALSE),"")</f>
        <v/>
      </c>
      <c r="AL69" s="147" t="str">
        <f>IF(VLOOKUP($B69,'Satınalma Takvimi Veri Girişi'!$B$4:$AC$146,23,FALSE)&lt;&gt;"",VLOOKUP($B69,'Satınalma Takvimi Veri Girişi'!$B$4:$AC$146,23,FALSE),"")</f>
        <v/>
      </c>
      <c r="AM69" s="147" t="str">
        <f>IF(VLOOKUP($B69,'Satınalma Takvimi Veri Girişi'!$B$4:$AC$146,24,FALSE)&lt;&gt;"",VLOOKUP($B69,'Satınalma Takvimi Veri Girişi'!$B$4:$AC$146,24,FALSE),"")</f>
        <v/>
      </c>
      <c r="AN69" s="147" t="str">
        <f>IF(VLOOKUP($B69,'Satınalma Takvimi Veri Girişi'!$B$4:$AC$146,25,FALSE)&lt;&gt;"",VLOOKUP($B69,'Satınalma Takvimi Veri Girişi'!$B$4:$AC$146,25,FALSE),"")</f>
        <v/>
      </c>
      <c r="AO69" s="147" t="str">
        <f>IF(VLOOKUP($B69,'Satınalma Takvimi Veri Girişi'!$B$4:$AC$146,26,FALSE)&lt;&gt;"",VLOOKUP($B69,'Satınalma Takvimi Veri Girişi'!$B$4:$AC$146,26,FALSE),"")</f>
        <v/>
      </c>
      <c r="AP69" s="147" t="str">
        <f>IF(VLOOKUP($B69,'Satınalma Takvimi Veri Girişi'!$B$4:$AC$146,27,FALSE)&lt;&gt;"",VLOOKUP($B69,'Satınalma Takvimi Veri Girişi'!$B$4:$AC$146,27,FALSE),"")</f>
        <v/>
      </c>
      <c r="AQ69" s="148" t="str">
        <f>IF(VLOOKUP($B69,'Satınalma Takvimi Veri Girişi'!$B$4:$AC$146,28,FALSE)&lt;&gt;"",VLOOKUP($B69,'Satınalma Takvimi Veri Girişi'!$B$4:$AC$146,28,FALSE),"")</f>
        <v/>
      </c>
    </row>
    <row r="70" spans="2:43" ht="19.95" customHeight="1" x14ac:dyDescent="0.3">
      <c r="B70" s="64" t="str">
        <f>Şablon!E69</f>
        <v>IHL.3028.064/1</v>
      </c>
      <c r="C70" s="139" t="str">
        <f>VLOOKUP($B70,Şablon!$E$3:$Q$255,2,FALSE)</f>
        <v>15.06.02 LAMİNE PARKE</v>
      </c>
      <c r="D70" s="161" t="str">
        <f>IF(VLOOKUP($B70,'Satınalma Takvimi Veri Girişi'!$B$4:$AC$146,3,FALSE)&lt;&gt;"",VLOOKUP($B70,'Satınalma Takvimi Veri Girişi'!$B$4:$AC$146,3,FALSE),"")</f>
        <v/>
      </c>
      <c r="E70" s="139" t="str">
        <f>VLOOKUP($B70,Şablon!$E$3:$Q$255,3,FALSE)</f>
        <v>A KATEGORİ</v>
      </c>
      <c r="F70" s="140" t="str">
        <f>VLOOKUP($B70,Şablon!$E$3:$Q$255,4,FALSE)</f>
        <v>İNŞ</v>
      </c>
      <c r="G70" s="141">
        <f>VLOOKUP($B70,Şablon!$E$3:$Q$255,5,FALSE)</f>
        <v>0</v>
      </c>
      <c r="H70" s="142" t="str">
        <f t="shared" si="14"/>
        <v/>
      </c>
      <c r="I70" s="143" t="str">
        <f t="shared" si="15"/>
        <v/>
      </c>
      <c r="J70" s="144" t="str">
        <f>IF(VLOOKUP($B70,'Satınalma Takvimi Veri Girişi'!$B$4:$AC$146,7,FALSE)&lt;&gt;"",VLOOKUP($B70,'Satınalma Takvimi Veri Girişi'!$B$4:$AC$146,7,FALSE),"")</f>
        <v/>
      </c>
      <c r="K70" s="141">
        <f>VLOOKUP($B70,Şablon!$E$3:$Q$255,6,FALSE)</f>
        <v>14</v>
      </c>
      <c r="L70" s="142" t="str">
        <f t="shared" si="16"/>
        <v/>
      </c>
      <c r="M70" s="143" t="str">
        <f t="shared" si="17"/>
        <v/>
      </c>
      <c r="N70" s="144" t="str">
        <f>IF(VLOOKUP($B70,'Satınalma Takvimi Veri Girişi'!$B$4:$AC$146,9,FALSE)&lt;&gt;"",VLOOKUP($B70,'Satınalma Takvimi Veri Girişi'!$B$4:$AC$146,9,FALSE),"")</f>
        <v/>
      </c>
      <c r="O70" s="141">
        <f>VLOOKUP($B70,Şablon!$E$3:$Q$255,7,FALSE)</f>
        <v>14</v>
      </c>
      <c r="P70" s="142" t="str">
        <f t="shared" si="18"/>
        <v/>
      </c>
      <c r="Q70" s="143" t="str">
        <f t="shared" si="19"/>
        <v/>
      </c>
      <c r="R70" s="144" t="str">
        <f>IF(VLOOKUP($B70,'Satınalma Takvimi Veri Girişi'!$B$4:$AC$146,11,FALSE)&lt;&gt;"",VLOOKUP($B70,'Satınalma Takvimi Veri Girişi'!$B$4:$AC$146,11,FALSE),"")</f>
        <v/>
      </c>
      <c r="S70" s="141">
        <f>VLOOKUP($B70,Şablon!$E$3:$Q$255,8,FALSE)</f>
        <v>28</v>
      </c>
      <c r="T70" s="142" t="str">
        <f t="shared" si="20"/>
        <v/>
      </c>
      <c r="U70" s="143" t="str">
        <f t="shared" si="21"/>
        <v/>
      </c>
      <c r="V70" s="144" t="str">
        <f>IF(VLOOKUP($B70,'Satınalma Takvimi Veri Girişi'!$B$4:$AC$146,13,FALSE)&lt;&gt;"",VLOOKUP($B70,'Satınalma Takvimi Veri Girişi'!$B$4:$AC$146,13,FALSE),"")</f>
        <v/>
      </c>
      <c r="W70" s="141">
        <f>VLOOKUP($B70,Şablon!$E$3:$Q$255,9,FALSE)</f>
        <v>10</v>
      </c>
      <c r="X70" s="142" t="str">
        <f t="shared" si="22"/>
        <v/>
      </c>
      <c r="Y70" s="143" t="str">
        <f t="shared" si="23"/>
        <v/>
      </c>
      <c r="Z70" s="144" t="str">
        <f>IF(VLOOKUP($B70,'Satınalma Takvimi Veri Girişi'!$B$4:$AC$146,15,FALSE)&lt;&gt;"",VLOOKUP($B70,'Satınalma Takvimi Veri Girişi'!$B$4:$AC$146,15,FALSE),"")</f>
        <v/>
      </c>
      <c r="AA70" s="141">
        <f>VLOOKUP($B70,Şablon!$E$3:$Q$255,10,FALSE)</f>
        <v>14</v>
      </c>
      <c r="AB70" s="142" t="str">
        <f t="shared" si="24"/>
        <v/>
      </c>
      <c r="AC70" s="143" t="str">
        <f t="shared" si="25"/>
        <v/>
      </c>
      <c r="AD70" s="144" t="str">
        <f>IF(VLOOKUP($B70,'Satınalma Takvimi Veri Girişi'!$B$4:$AC$146,17,FALSE)&lt;&gt;"",VLOOKUP($B70,'Satınalma Takvimi Veri Girişi'!$B$4:$AC$146,17,FALSE),"")</f>
        <v/>
      </c>
      <c r="AE70" s="141">
        <f>(VLOOKUP($B70,Şablon!$E$3:$Q$255,11,FALSE)+VLOOKUP($B70,Şablon!$E$3:$Q$255,12,FALSE))</f>
        <v>67</v>
      </c>
      <c r="AF70" s="142" t="str">
        <f t="shared" si="26"/>
        <v/>
      </c>
      <c r="AG70" s="143" t="str">
        <f t="shared" si="27"/>
        <v/>
      </c>
      <c r="AH70" s="144" t="str">
        <f>IF(VLOOKUP($B70,'Satınalma Takvimi Veri Girişi'!$B$4:$AC$146,19,FALSE)&lt;&gt;"",VLOOKUP($B70,'Satınalma Takvimi Veri Girişi'!$B$4:$AC$146,19,FALSE),"")</f>
        <v/>
      </c>
      <c r="AI70" s="145" t="str">
        <f>IF(VLOOKUP($B70,'Satınalma Takvimi Veri Girişi'!$B$4:$AC$146,20,FALSE)&lt;&gt;"",VLOOKUP($B70,'Satınalma Takvimi Veri Girişi'!$B$4:$AC$146,20,FALSE),"")</f>
        <v/>
      </c>
      <c r="AJ70" s="144" t="str">
        <f>IF(VLOOKUP($B70,'Satınalma Takvimi Veri Girişi'!$B$4:$AC$146,21,FALSE)&lt;&gt;"",VLOOKUP($B70,'Satınalma Takvimi Veri Girişi'!$B$4:$AC$146,21,FALSE),"")</f>
        <v/>
      </c>
      <c r="AK70" s="146" t="str">
        <f>IF(VLOOKUP($B70,'Satınalma Takvimi Veri Girişi'!$B$4:$AC$146,22,FALSE)&lt;&gt;"",VLOOKUP($B70,'Satınalma Takvimi Veri Girişi'!$B$4:$AC$146,22,FALSE),"")</f>
        <v/>
      </c>
      <c r="AL70" s="147" t="str">
        <f>IF(VLOOKUP($B70,'Satınalma Takvimi Veri Girişi'!$B$4:$AC$146,23,FALSE)&lt;&gt;"",VLOOKUP($B70,'Satınalma Takvimi Veri Girişi'!$B$4:$AC$146,23,FALSE),"")</f>
        <v/>
      </c>
      <c r="AM70" s="147" t="str">
        <f>IF(VLOOKUP($B70,'Satınalma Takvimi Veri Girişi'!$B$4:$AC$146,24,FALSE)&lt;&gt;"",VLOOKUP($B70,'Satınalma Takvimi Veri Girişi'!$B$4:$AC$146,24,FALSE),"")</f>
        <v/>
      </c>
      <c r="AN70" s="147" t="str">
        <f>IF(VLOOKUP($B70,'Satınalma Takvimi Veri Girişi'!$B$4:$AC$146,25,FALSE)&lt;&gt;"",VLOOKUP($B70,'Satınalma Takvimi Veri Girişi'!$B$4:$AC$146,25,FALSE),"")</f>
        <v/>
      </c>
      <c r="AO70" s="147" t="str">
        <f>IF(VLOOKUP($B70,'Satınalma Takvimi Veri Girişi'!$B$4:$AC$146,26,FALSE)&lt;&gt;"",VLOOKUP($B70,'Satınalma Takvimi Veri Girişi'!$B$4:$AC$146,26,FALSE),"")</f>
        <v/>
      </c>
      <c r="AP70" s="147" t="str">
        <f>IF(VLOOKUP($B70,'Satınalma Takvimi Veri Girişi'!$B$4:$AC$146,27,FALSE)&lt;&gt;"",VLOOKUP($B70,'Satınalma Takvimi Veri Girişi'!$B$4:$AC$146,27,FALSE),"")</f>
        <v/>
      </c>
      <c r="AQ70" s="148" t="str">
        <f>IF(VLOOKUP($B70,'Satınalma Takvimi Veri Girişi'!$B$4:$AC$146,28,FALSE)&lt;&gt;"",VLOOKUP($B70,'Satınalma Takvimi Veri Girişi'!$B$4:$AC$146,28,FALSE),"")</f>
        <v/>
      </c>
    </row>
    <row r="71" spans="2:43" ht="19.95" customHeight="1" x14ac:dyDescent="0.3">
      <c r="B71" s="64" t="str">
        <f>Şablon!E70</f>
        <v>IHL.3028.065/1</v>
      </c>
      <c r="C71" s="139" t="str">
        <f>VLOOKUP($B71,Şablon!$E$3:$Q$255,2,FALSE)</f>
        <v>25.02.00 SABİT MOBİLYA</v>
      </c>
      <c r="D71" s="161" t="str">
        <f>IF(VLOOKUP($B71,'Satınalma Takvimi Veri Girişi'!$B$4:$AC$146,3,FALSE)&lt;&gt;"",VLOOKUP($B71,'Satınalma Takvimi Veri Girişi'!$B$4:$AC$146,3,FALSE),"")</f>
        <v/>
      </c>
      <c r="E71" s="139" t="str">
        <f>VLOOKUP($B71,Şablon!$E$3:$Q$255,3,FALSE)</f>
        <v>A KATEGORİ</v>
      </c>
      <c r="F71" s="140" t="str">
        <f>VLOOKUP($B71,Şablon!$E$3:$Q$255,4,FALSE)</f>
        <v>İNŞ</v>
      </c>
      <c r="G71" s="141">
        <f>VLOOKUP($B71,Şablon!$E$3:$Q$255,5,FALSE)</f>
        <v>0</v>
      </c>
      <c r="H71" s="142" t="str">
        <f t="shared" si="14"/>
        <v/>
      </c>
      <c r="I71" s="143" t="str">
        <f t="shared" si="15"/>
        <v/>
      </c>
      <c r="J71" s="144" t="str">
        <f>IF(VLOOKUP($B71,'Satınalma Takvimi Veri Girişi'!$B$4:$AC$146,7,FALSE)&lt;&gt;"",VLOOKUP($B71,'Satınalma Takvimi Veri Girişi'!$B$4:$AC$146,7,FALSE),"")</f>
        <v/>
      </c>
      <c r="K71" s="141">
        <f>VLOOKUP($B71,Şablon!$E$3:$Q$255,6,FALSE)</f>
        <v>14</v>
      </c>
      <c r="L71" s="142" t="str">
        <f t="shared" si="16"/>
        <v/>
      </c>
      <c r="M71" s="143" t="str">
        <f t="shared" si="17"/>
        <v/>
      </c>
      <c r="N71" s="144" t="str">
        <f>IF(VLOOKUP($B71,'Satınalma Takvimi Veri Girişi'!$B$4:$AC$146,9,FALSE)&lt;&gt;"",VLOOKUP($B71,'Satınalma Takvimi Veri Girişi'!$B$4:$AC$146,9,FALSE),"")</f>
        <v/>
      </c>
      <c r="O71" s="141">
        <f>VLOOKUP($B71,Şablon!$E$3:$Q$255,7,FALSE)</f>
        <v>14</v>
      </c>
      <c r="P71" s="142" t="str">
        <f t="shared" si="18"/>
        <v/>
      </c>
      <c r="Q71" s="143" t="str">
        <f t="shared" si="19"/>
        <v/>
      </c>
      <c r="R71" s="144" t="str">
        <f>IF(VLOOKUP($B71,'Satınalma Takvimi Veri Girişi'!$B$4:$AC$146,11,FALSE)&lt;&gt;"",VLOOKUP($B71,'Satınalma Takvimi Veri Girişi'!$B$4:$AC$146,11,FALSE),"")</f>
        <v/>
      </c>
      <c r="S71" s="141">
        <f>VLOOKUP($B71,Şablon!$E$3:$Q$255,8,FALSE)</f>
        <v>60</v>
      </c>
      <c r="T71" s="142" t="str">
        <f t="shared" si="20"/>
        <v/>
      </c>
      <c r="U71" s="143" t="str">
        <f t="shared" si="21"/>
        <v/>
      </c>
      <c r="V71" s="144" t="str">
        <f>IF(VLOOKUP($B71,'Satınalma Takvimi Veri Girişi'!$B$4:$AC$146,13,FALSE)&lt;&gt;"",VLOOKUP($B71,'Satınalma Takvimi Veri Girişi'!$B$4:$AC$146,13,FALSE),"")</f>
        <v/>
      </c>
      <c r="W71" s="141">
        <f>VLOOKUP($B71,Şablon!$E$3:$Q$255,9,FALSE)</f>
        <v>10</v>
      </c>
      <c r="X71" s="142" t="str">
        <f t="shared" si="22"/>
        <v/>
      </c>
      <c r="Y71" s="143" t="str">
        <f t="shared" si="23"/>
        <v/>
      </c>
      <c r="Z71" s="144" t="str">
        <f>IF(VLOOKUP($B71,'Satınalma Takvimi Veri Girişi'!$B$4:$AC$146,15,FALSE)&lt;&gt;"",VLOOKUP($B71,'Satınalma Takvimi Veri Girişi'!$B$4:$AC$146,15,FALSE),"")</f>
        <v/>
      </c>
      <c r="AA71" s="141">
        <f>VLOOKUP($B71,Şablon!$E$3:$Q$255,10,FALSE)</f>
        <v>21</v>
      </c>
      <c r="AB71" s="142" t="str">
        <f t="shared" si="24"/>
        <v/>
      </c>
      <c r="AC71" s="143" t="str">
        <f t="shared" si="25"/>
        <v/>
      </c>
      <c r="AD71" s="144" t="str">
        <f>IF(VLOOKUP($B71,'Satınalma Takvimi Veri Girişi'!$B$4:$AC$146,17,FALSE)&lt;&gt;"",VLOOKUP($B71,'Satınalma Takvimi Veri Girişi'!$B$4:$AC$146,17,FALSE),"")</f>
        <v/>
      </c>
      <c r="AE71" s="141">
        <f>(VLOOKUP($B71,Şablon!$E$3:$Q$255,11,FALSE)+VLOOKUP($B71,Şablon!$E$3:$Q$255,12,FALSE))</f>
        <v>88</v>
      </c>
      <c r="AF71" s="142" t="str">
        <f t="shared" si="26"/>
        <v/>
      </c>
      <c r="AG71" s="143" t="str">
        <f t="shared" si="27"/>
        <v/>
      </c>
      <c r="AH71" s="144" t="str">
        <f>IF(VLOOKUP($B71,'Satınalma Takvimi Veri Girişi'!$B$4:$AC$146,19,FALSE)&lt;&gt;"",VLOOKUP($B71,'Satınalma Takvimi Veri Girişi'!$B$4:$AC$146,19,FALSE),"")</f>
        <v/>
      </c>
      <c r="AI71" s="145" t="str">
        <f>IF(VLOOKUP($B71,'Satınalma Takvimi Veri Girişi'!$B$4:$AC$146,20,FALSE)&lt;&gt;"",VLOOKUP($B71,'Satınalma Takvimi Veri Girişi'!$B$4:$AC$146,20,FALSE),"")</f>
        <v/>
      </c>
      <c r="AJ71" s="144" t="str">
        <f>IF(VLOOKUP($B71,'Satınalma Takvimi Veri Girişi'!$B$4:$AC$146,21,FALSE)&lt;&gt;"",VLOOKUP($B71,'Satınalma Takvimi Veri Girişi'!$B$4:$AC$146,21,FALSE),"")</f>
        <v/>
      </c>
      <c r="AK71" s="146" t="str">
        <f>IF(VLOOKUP($B71,'Satınalma Takvimi Veri Girişi'!$B$4:$AC$146,22,FALSE)&lt;&gt;"",VLOOKUP($B71,'Satınalma Takvimi Veri Girişi'!$B$4:$AC$146,22,FALSE),"")</f>
        <v/>
      </c>
      <c r="AL71" s="147" t="str">
        <f>IF(VLOOKUP($B71,'Satınalma Takvimi Veri Girişi'!$B$4:$AC$146,23,FALSE)&lt;&gt;"",VLOOKUP($B71,'Satınalma Takvimi Veri Girişi'!$B$4:$AC$146,23,FALSE),"")</f>
        <v/>
      </c>
      <c r="AM71" s="147" t="str">
        <f>IF(VLOOKUP($B71,'Satınalma Takvimi Veri Girişi'!$B$4:$AC$146,24,FALSE)&lt;&gt;"",VLOOKUP($B71,'Satınalma Takvimi Veri Girişi'!$B$4:$AC$146,24,FALSE),"")</f>
        <v/>
      </c>
      <c r="AN71" s="147" t="str">
        <f>IF(VLOOKUP($B71,'Satınalma Takvimi Veri Girişi'!$B$4:$AC$146,25,FALSE)&lt;&gt;"",VLOOKUP($B71,'Satınalma Takvimi Veri Girişi'!$B$4:$AC$146,25,FALSE),"")</f>
        <v/>
      </c>
      <c r="AO71" s="147" t="str">
        <f>IF(VLOOKUP($B71,'Satınalma Takvimi Veri Girişi'!$B$4:$AC$146,26,FALSE)&lt;&gt;"",VLOOKUP($B71,'Satınalma Takvimi Veri Girişi'!$B$4:$AC$146,26,FALSE),"")</f>
        <v/>
      </c>
      <c r="AP71" s="147" t="str">
        <f>IF(VLOOKUP($B71,'Satınalma Takvimi Veri Girişi'!$B$4:$AC$146,27,FALSE)&lt;&gt;"",VLOOKUP($B71,'Satınalma Takvimi Veri Girişi'!$B$4:$AC$146,27,FALSE),"")</f>
        <v/>
      </c>
      <c r="AQ71" s="148" t="str">
        <f>IF(VLOOKUP($B71,'Satınalma Takvimi Veri Girişi'!$B$4:$AC$146,28,FALSE)&lt;&gt;"",VLOOKUP($B71,'Satınalma Takvimi Veri Girişi'!$B$4:$AC$146,28,FALSE),"")</f>
        <v/>
      </c>
    </row>
    <row r="72" spans="2:43" ht="19.95" customHeight="1" x14ac:dyDescent="0.3">
      <c r="B72" s="64" t="str">
        <f>Şablon!E71</f>
        <v>IHL.3028.066/1</v>
      </c>
      <c r="C72" s="139" t="str">
        <f>VLOOKUP($B72,Şablon!$E$3:$Q$255,2,FALSE)</f>
        <v>15.15.01 CEPHE LOGO</v>
      </c>
      <c r="D72" s="161" t="str">
        <f>IF(VLOOKUP($B72,'Satınalma Takvimi Veri Girişi'!$B$4:$AC$146,3,FALSE)&lt;&gt;"",VLOOKUP($B72,'Satınalma Takvimi Veri Girişi'!$B$4:$AC$146,3,FALSE),"")</f>
        <v/>
      </c>
      <c r="E72" s="139" t="str">
        <f>VLOOKUP($B72,Şablon!$E$3:$Q$255,3,FALSE)</f>
        <v>B KATEGORİ</v>
      </c>
      <c r="F72" s="140" t="str">
        <f>VLOOKUP($B72,Şablon!$E$3:$Q$255,4,FALSE)</f>
        <v>İNŞ</v>
      </c>
      <c r="G72" s="141">
        <f>VLOOKUP($B72,Şablon!$E$3:$Q$255,5,FALSE)</f>
        <v>0</v>
      </c>
      <c r="H72" s="142" t="str">
        <f t="shared" si="14"/>
        <v/>
      </c>
      <c r="I72" s="143" t="str">
        <f t="shared" si="15"/>
        <v/>
      </c>
      <c r="J72" s="144" t="str">
        <f>IF(VLOOKUP($B72,'Satınalma Takvimi Veri Girişi'!$B$4:$AC$146,7,FALSE)&lt;&gt;"",VLOOKUP($B72,'Satınalma Takvimi Veri Girişi'!$B$4:$AC$146,7,FALSE),"")</f>
        <v/>
      </c>
      <c r="K72" s="141">
        <f>VLOOKUP($B72,Şablon!$E$3:$Q$255,6,FALSE)</f>
        <v>14</v>
      </c>
      <c r="L72" s="142" t="str">
        <f t="shared" si="16"/>
        <v/>
      </c>
      <c r="M72" s="143" t="str">
        <f t="shared" si="17"/>
        <v/>
      </c>
      <c r="N72" s="144" t="str">
        <f>IF(VLOOKUP($B72,'Satınalma Takvimi Veri Girişi'!$B$4:$AC$146,9,FALSE)&lt;&gt;"",VLOOKUP($B72,'Satınalma Takvimi Veri Girişi'!$B$4:$AC$146,9,FALSE),"")</f>
        <v/>
      </c>
      <c r="O72" s="141">
        <f>VLOOKUP($B72,Şablon!$E$3:$Q$255,7,FALSE)</f>
        <v>7</v>
      </c>
      <c r="P72" s="142" t="str">
        <f t="shared" si="18"/>
        <v/>
      </c>
      <c r="Q72" s="143" t="str">
        <f t="shared" si="19"/>
        <v/>
      </c>
      <c r="R72" s="144" t="str">
        <f>IF(VLOOKUP($B72,'Satınalma Takvimi Veri Girişi'!$B$4:$AC$146,11,FALSE)&lt;&gt;"",VLOOKUP($B72,'Satınalma Takvimi Veri Girişi'!$B$4:$AC$146,11,FALSE),"")</f>
        <v/>
      </c>
      <c r="S72" s="141">
        <f>VLOOKUP($B72,Şablon!$E$3:$Q$255,8,FALSE)</f>
        <v>14</v>
      </c>
      <c r="T72" s="142" t="str">
        <f t="shared" si="20"/>
        <v/>
      </c>
      <c r="U72" s="143" t="str">
        <f t="shared" si="21"/>
        <v/>
      </c>
      <c r="V72" s="144" t="str">
        <f>IF(VLOOKUP($B72,'Satınalma Takvimi Veri Girişi'!$B$4:$AC$146,13,FALSE)&lt;&gt;"",VLOOKUP($B72,'Satınalma Takvimi Veri Girişi'!$B$4:$AC$146,13,FALSE),"")</f>
        <v/>
      </c>
      <c r="W72" s="141">
        <f>VLOOKUP($B72,Şablon!$E$3:$Q$255,9,FALSE)</f>
        <v>7</v>
      </c>
      <c r="X72" s="142" t="str">
        <f t="shared" si="22"/>
        <v/>
      </c>
      <c r="Y72" s="143" t="str">
        <f t="shared" si="23"/>
        <v/>
      </c>
      <c r="Z72" s="144" t="str">
        <f>IF(VLOOKUP($B72,'Satınalma Takvimi Veri Girişi'!$B$4:$AC$146,15,FALSE)&lt;&gt;"",VLOOKUP($B72,'Satınalma Takvimi Veri Girişi'!$B$4:$AC$146,15,FALSE),"")</f>
        <v/>
      </c>
      <c r="AA72" s="141">
        <f>VLOOKUP($B72,Şablon!$E$3:$Q$255,10,FALSE)</f>
        <v>7</v>
      </c>
      <c r="AB72" s="142" t="str">
        <f t="shared" si="24"/>
        <v/>
      </c>
      <c r="AC72" s="143" t="str">
        <f t="shared" si="25"/>
        <v/>
      </c>
      <c r="AD72" s="144" t="str">
        <f>IF(VLOOKUP($B72,'Satınalma Takvimi Veri Girişi'!$B$4:$AC$146,17,FALSE)&lt;&gt;"",VLOOKUP($B72,'Satınalma Takvimi Veri Girişi'!$B$4:$AC$146,17,FALSE),"")</f>
        <v/>
      </c>
      <c r="AE72" s="141">
        <f>(VLOOKUP($B72,Şablon!$E$3:$Q$255,11,FALSE)+VLOOKUP($B72,Şablon!$E$3:$Q$255,12,FALSE))</f>
        <v>35</v>
      </c>
      <c r="AF72" s="142" t="str">
        <f t="shared" si="26"/>
        <v/>
      </c>
      <c r="AG72" s="143" t="str">
        <f t="shared" si="27"/>
        <v/>
      </c>
      <c r="AH72" s="144" t="str">
        <f>IF(VLOOKUP($B72,'Satınalma Takvimi Veri Girişi'!$B$4:$AC$146,19,FALSE)&lt;&gt;"",VLOOKUP($B72,'Satınalma Takvimi Veri Girişi'!$B$4:$AC$146,19,FALSE),"")</f>
        <v/>
      </c>
      <c r="AI72" s="145" t="str">
        <f>IF(VLOOKUP($B72,'Satınalma Takvimi Veri Girişi'!$B$4:$AC$146,20,FALSE)&lt;&gt;"",VLOOKUP($B72,'Satınalma Takvimi Veri Girişi'!$B$4:$AC$146,20,FALSE),"")</f>
        <v/>
      </c>
      <c r="AJ72" s="144" t="str">
        <f>IF(VLOOKUP($B72,'Satınalma Takvimi Veri Girişi'!$B$4:$AC$146,21,FALSE)&lt;&gt;"",VLOOKUP($B72,'Satınalma Takvimi Veri Girişi'!$B$4:$AC$146,21,FALSE),"")</f>
        <v/>
      </c>
      <c r="AK72" s="146" t="str">
        <f>IF(VLOOKUP($B72,'Satınalma Takvimi Veri Girişi'!$B$4:$AC$146,22,FALSE)&lt;&gt;"",VLOOKUP($B72,'Satınalma Takvimi Veri Girişi'!$B$4:$AC$146,22,FALSE),"")</f>
        <v/>
      </c>
      <c r="AL72" s="147" t="str">
        <f>IF(VLOOKUP($B72,'Satınalma Takvimi Veri Girişi'!$B$4:$AC$146,23,FALSE)&lt;&gt;"",VLOOKUP($B72,'Satınalma Takvimi Veri Girişi'!$B$4:$AC$146,23,FALSE),"")</f>
        <v/>
      </c>
      <c r="AM72" s="147" t="str">
        <f>IF(VLOOKUP($B72,'Satınalma Takvimi Veri Girişi'!$B$4:$AC$146,24,FALSE)&lt;&gt;"",VLOOKUP($B72,'Satınalma Takvimi Veri Girişi'!$B$4:$AC$146,24,FALSE),"")</f>
        <v/>
      </c>
      <c r="AN72" s="147" t="str">
        <f>IF(VLOOKUP($B72,'Satınalma Takvimi Veri Girişi'!$B$4:$AC$146,25,FALSE)&lt;&gt;"",VLOOKUP($B72,'Satınalma Takvimi Veri Girişi'!$B$4:$AC$146,25,FALSE),"")</f>
        <v/>
      </c>
      <c r="AO72" s="147" t="str">
        <f>IF(VLOOKUP($B72,'Satınalma Takvimi Veri Girişi'!$B$4:$AC$146,26,FALSE)&lt;&gt;"",VLOOKUP($B72,'Satınalma Takvimi Veri Girişi'!$B$4:$AC$146,26,FALSE),"")</f>
        <v/>
      </c>
      <c r="AP72" s="147" t="str">
        <f>IF(VLOOKUP($B72,'Satınalma Takvimi Veri Girişi'!$B$4:$AC$146,27,FALSE)&lt;&gt;"",VLOOKUP($B72,'Satınalma Takvimi Veri Girişi'!$B$4:$AC$146,27,FALSE),"")</f>
        <v/>
      </c>
      <c r="AQ72" s="148" t="str">
        <f>IF(VLOOKUP($B72,'Satınalma Takvimi Veri Girişi'!$B$4:$AC$146,28,FALSE)&lt;&gt;"",VLOOKUP($B72,'Satınalma Takvimi Veri Girişi'!$B$4:$AC$146,28,FALSE),"")</f>
        <v/>
      </c>
    </row>
    <row r="73" spans="2:43" ht="19.95" customHeight="1" x14ac:dyDescent="0.3">
      <c r="B73" s="64" t="str">
        <f>Şablon!E72</f>
        <v>IHL.3028.067/1</v>
      </c>
      <c r="C73" s="139" t="str">
        <f>VLOOKUP($B73,Şablon!$E$3:$Q$255,2,FALSE)</f>
        <v>15.11.00 AKRİLİK TEZGAH</v>
      </c>
      <c r="D73" s="161" t="str">
        <f>IF(VLOOKUP($B73,'Satınalma Takvimi Veri Girişi'!$B$4:$AC$146,3,FALSE)&lt;&gt;"",VLOOKUP($B73,'Satınalma Takvimi Veri Girişi'!$B$4:$AC$146,3,FALSE),"")</f>
        <v/>
      </c>
      <c r="E73" s="139" t="str">
        <f>VLOOKUP($B73,Şablon!$E$3:$Q$255,3,FALSE)</f>
        <v>B KATEGORİ</v>
      </c>
      <c r="F73" s="140" t="str">
        <f>VLOOKUP($B73,Şablon!$E$3:$Q$255,4,FALSE)</f>
        <v>İNŞ</v>
      </c>
      <c r="G73" s="141">
        <f>VLOOKUP($B73,Şablon!$E$3:$Q$255,5,FALSE)</f>
        <v>0</v>
      </c>
      <c r="H73" s="142" t="str">
        <f t="shared" si="14"/>
        <v/>
      </c>
      <c r="I73" s="143" t="str">
        <f t="shared" si="15"/>
        <v/>
      </c>
      <c r="J73" s="144" t="str">
        <f>IF(VLOOKUP($B73,'Satınalma Takvimi Veri Girişi'!$B$4:$AC$146,7,FALSE)&lt;&gt;"",VLOOKUP($B73,'Satınalma Takvimi Veri Girişi'!$B$4:$AC$146,7,FALSE),"")</f>
        <v/>
      </c>
      <c r="K73" s="141">
        <f>VLOOKUP($B73,Şablon!$E$3:$Q$255,6,FALSE)</f>
        <v>14</v>
      </c>
      <c r="L73" s="142" t="str">
        <f t="shared" si="16"/>
        <v/>
      </c>
      <c r="M73" s="143" t="str">
        <f t="shared" si="17"/>
        <v/>
      </c>
      <c r="N73" s="144" t="str">
        <f>IF(VLOOKUP($B73,'Satınalma Takvimi Veri Girişi'!$B$4:$AC$146,9,FALSE)&lt;&gt;"",VLOOKUP($B73,'Satınalma Takvimi Veri Girişi'!$B$4:$AC$146,9,FALSE),"")</f>
        <v/>
      </c>
      <c r="O73" s="141">
        <f>VLOOKUP($B73,Şablon!$E$3:$Q$255,7,FALSE)</f>
        <v>7</v>
      </c>
      <c r="P73" s="142" t="str">
        <f t="shared" si="18"/>
        <v/>
      </c>
      <c r="Q73" s="143" t="str">
        <f t="shared" si="19"/>
        <v/>
      </c>
      <c r="R73" s="144" t="str">
        <f>IF(VLOOKUP($B73,'Satınalma Takvimi Veri Girişi'!$B$4:$AC$146,11,FALSE)&lt;&gt;"",VLOOKUP($B73,'Satınalma Takvimi Veri Girişi'!$B$4:$AC$146,11,FALSE),"")</f>
        <v/>
      </c>
      <c r="S73" s="141">
        <f>VLOOKUP($B73,Şablon!$E$3:$Q$255,8,FALSE)</f>
        <v>21</v>
      </c>
      <c r="T73" s="142" t="str">
        <f t="shared" si="20"/>
        <v/>
      </c>
      <c r="U73" s="143" t="str">
        <f t="shared" si="21"/>
        <v/>
      </c>
      <c r="V73" s="144" t="str">
        <f>IF(VLOOKUP($B73,'Satınalma Takvimi Veri Girişi'!$B$4:$AC$146,13,FALSE)&lt;&gt;"",VLOOKUP($B73,'Satınalma Takvimi Veri Girişi'!$B$4:$AC$146,13,FALSE),"")</f>
        <v/>
      </c>
      <c r="W73" s="141">
        <f>VLOOKUP($B73,Şablon!$E$3:$Q$255,9,FALSE)</f>
        <v>7</v>
      </c>
      <c r="X73" s="142" t="str">
        <f t="shared" si="22"/>
        <v/>
      </c>
      <c r="Y73" s="143" t="str">
        <f t="shared" si="23"/>
        <v/>
      </c>
      <c r="Z73" s="144" t="str">
        <f>IF(VLOOKUP($B73,'Satınalma Takvimi Veri Girişi'!$B$4:$AC$146,15,FALSE)&lt;&gt;"",VLOOKUP($B73,'Satınalma Takvimi Veri Girişi'!$B$4:$AC$146,15,FALSE),"")</f>
        <v/>
      </c>
      <c r="AA73" s="141">
        <f>VLOOKUP($B73,Şablon!$E$3:$Q$255,10,FALSE)</f>
        <v>14</v>
      </c>
      <c r="AB73" s="142" t="str">
        <f t="shared" si="24"/>
        <v/>
      </c>
      <c r="AC73" s="143" t="str">
        <f t="shared" si="25"/>
        <v/>
      </c>
      <c r="AD73" s="144" t="str">
        <f>IF(VLOOKUP($B73,'Satınalma Takvimi Veri Girişi'!$B$4:$AC$146,17,FALSE)&lt;&gt;"",VLOOKUP($B73,'Satınalma Takvimi Veri Girişi'!$B$4:$AC$146,17,FALSE),"")</f>
        <v/>
      </c>
      <c r="AE73" s="141">
        <f>(VLOOKUP($B73,Şablon!$E$3:$Q$255,11,FALSE)+VLOOKUP($B73,Şablon!$E$3:$Q$255,12,FALSE))</f>
        <v>35</v>
      </c>
      <c r="AF73" s="142" t="str">
        <f t="shared" si="26"/>
        <v/>
      </c>
      <c r="AG73" s="143" t="str">
        <f t="shared" si="27"/>
        <v/>
      </c>
      <c r="AH73" s="144" t="str">
        <f>IF(VLOOKUP($B73,'Satınalma Takvimi Veri Girişi'!$B$4:$AC$146,19,FALSE)&lt;&gt;"",VLOOKUP($B73,'Satınalma Takvimi Veri Girişi'!$B$4:$AC$146,19,FALSE),"")</f>
        <v/>
      </c>
      <c r="AI73" s="145" t="str">
        <f>IF(VLOOKUP($B73,'Satınalma Takvimi Veri Girişi'!$B$4:$AC$146,20,FALSE)&lt;&gt;"",VLOOKUP($B73,'Satınalma Takvimi Veri Girişi'!$B$4:$AC$146,20,FALSE),"")</f>
        <v/>
      </c>
      <c r="AJ73" s="144" t="str">
        <f>IF(VLOOKUP($B73,'Satınalma Takvimi Veri Girişi'!$B$4:$AC$146,21,FALSE)&lt;&gt;"",VLOOKUP($B73,'Satınalma Takvimi Veri Girişi'!$B$4:$AC$146,21,FALSE),"")</f>
        <v/>
      </c>
      <c r="AK73" s="146" t="str">
        <f>IF(VLOOKUP($B73,'Satınalma Takvimi Veri Girişi'!$B$4:$AC$146,22,FALSE)&lt;&gt;"",VLOOKUP($B73,'Satınalma Takvimi Veri Girişi'!$B$4:$AC$146,22,FALSE),"")</f>
        <v/>
      </c>
      <c r="AL73" s="147" t="str">
        <f>IF(VLOOKUP($B73,'Satınalma Takvimi Veri Girişi'!$B$4:$AC$146,23,FALSE)&lt;&gt;"",VLOOKUP($B73,'Satınalma Takvimi Veri Girişi'!$B$4:$AC$146,23,FALSE),"")</f>
        <v/>
      </c>
      <c r="AM73" s="147" t="str">
        <f>IF(VLOOKUP($B73,'Satınalma Takvimi Veri Girişi'!$B$4:$AC$146,24,FALSE)&lt;&gt;"",VLOOKUP($B73,'Satınalma Takvimi Veri Girişi'!$B$4:$AC$146,24,FALSE),"")</f>
        <v/>
      </c>
      <c r="AN73" s="147" t="str">
        <f>IF(VLOOKUP($B73,'Satınalma Takvimi Veri Girişi'!$B$4:$AC$146,25,FALSE)&lt;&gt;"",VLOOKUP($B73,'Satınalma Takvimi Veri Girişi'!$B$4:$AC$146,25,FALSE),"")</f>
        <v/>
      </c>
      <c r="AO73" s="147" t="str">
        <f>IF(VLOOKUP($B73,'Satınalma Takvimi Veri Girişi'!$B$4:$AC$146,26,FALSE)&lt;&gt;"",VLOOKUP($B73,'Satınalma Takvimi Veri Girişi'!$B$4:$AC$146,26,FALSE),"")</f>
        <v/>
      </c>
      <c r="AP73" s="147" t="str">
        <f>IF(VLOOKUP($B73,'Satınalma Takvimi Veri Girişi'!$B$4:$AC$146,27,FALSE)&lt;&gt;"",VLOOKUP($B73,'Satınalma Takvimi Veri Girişi'!$B$4:$AC$146,27,FALSE),"")</f>
        <v/>
      </c>
      <c r="AQ73" s="148" t="str">
        <f>IF(VLOOKUP($B73,'Satınalma Takvimi Veri Girişi'!$B$4:$AC$146,28,FALSE)&lt;&gt;"",VLOOKUP($B73,'Satınalma Takvimi Veri Girişi'!$B$4:$AC$146,28,FALSE),"")</f>
        <v/>
      </c>
    </row>
    <row r="74" spans="2:43" ht="19.95" customHeight="1" x14ac:dyDescent="0.3">
      <c r="B74" s="64" t="str">
        <f>Şablon!E73</f>
        <v>IHL.3028.068/1</v>
      </c>
      <c r="C74" s="139" t="str">
        <f>VLOOKUP($B74,Şablon!$E$3:$Q$255,2,FALSE)</f>
        <v>15.11.01 KUVARS TEZGAH</v>
      </c>
      <c r="D74" s="161" t="str">
        <f>IF(VLOOKUP($B74,'Satınalma Takvimi Veri Girişi'!$B$4:$AC$146,3,FALSE)&lt;&gt;"",VLOOKUP($B74,'Satınalma Takvimi Veri Girişi'!$B$4:$AC$146,3,FALSE),"")</f>
        <v/>
      </c>
      <c r="E74" s="139" t="str">
        <f>VLOOKUP($B74,Şablon!$E$3:$Q$255,3,FALSE)</f>
        <v>B KATEGORİ</v>
      </c>
      <c r="F74" s="140" t="str">
        <f>VLOOKUP($B74,Şablon!$E$3:$Q$255,4,FALSE)</f>
        <v>İNŞ</v>
      </c>
      <c r="G74" s="141">
        <f>VLOOKUP($B74,Şablon!$E$3:$Q$255,5,FALSE)</f>
        <v>0</v>
      </c>
      <c r="H74" s="142" t="str">
        <f t="shared" si="14"/>
        <v/>
      </c>
      <c r="I74" s="143" t="str">
        <f t="shared" si="15"/>
        <v/>
      </c>
      <c r="J74" s="144" t="str">
        <f>IF(VLOOKUP($B74,'Satınalma Takvimi Veri Girişi'!$B$4:$AC$146,7,FALSE)&lt;&gt;"",VLOOKUP($B74,'Satınalma Takvimi Veri Girişi'!$B$4:$AC$146,7,FALSE),"")</f>
        <v/>
      </c>
      <c r="K74" s="141">
        <f>VLOOKUP($B74,Şablon!$E$3:$Q$255,6,FALSE)</f>
        <v>14</v>
      </c>
      <c r="L74" s="142" t="str">
        <f t="shared" si="16"/>
        <v/>
      </c>
      <c r="M74" s="143" t="str">
        <f t="shared" si="17"/>
        <v/>
      </c>
      <c r="N74" s="144" t="str">
        <f>IF(VLOOKUP($B74,'Satınalma Takvimi Veri Girişi'!$B$4:$AC$146,9,FALSE)&lt;&gt;"",VLOOKUP($B74,'Satınalma Takvimi Veri Girişi'!$B$4:$AC$146,9,FALSE),"")</f>
        <v/>
      </c>
      <c r="O74" s="141">
        <f>VLOOKUP($B74,Şablon!$E$3:$Q$255,7,FALSE)</f>
        <v>7</v>
      </c>
      <c r="P74" s="142" t="str">
        <f t="shared" si="18"/>
        <v/>
      </c>
      <c r="Q74" s="143" t="str">
        <f t="shared" si="19"/>
        <v/>
      </c>
      <c r="R74" s="144" t="str">
        <f>IF(VLOOKUP($B74,'Satınalma Takvimi Veri Girişi'!$B$4:$AC$146,11,FALSE)&lt;&gt;"",VLOOKUP($B74,'Satınalma Takvimi Veri Girişi'!$B$4:$AC$146,11,FALSE),"")</f>
        <v/>
      </c>
      <c r="S74" s="141">
        <f>VLOOKUP($B74,Şablon!$E$3:$Q$255,8,FALSE)</f>
        <v>21</v>
      </c>
      <c r="T74" s="142" t="str">
        <f t="shared" si="20"/>
        <v/>
      </c>
      <c r="U74" s="143" t="str">
        <f t="shared" si="21"/>
        <v/>
      </c>
      <c r="V74" s="144" t="str">
        <f>IF(VLOOKUP($B74,'Satınalma Takvimi Veri Girişi'!$B$4:$AC$146,13,FALSE)&lt;&gt;"",VLOOKUP($B74,'Satınalma Takvimi Veri Girişi'!$B$4:$AC$146,13,FALSE),"")</f>
        <v/>
      </c>
      <c r="W74" s="141">
        <f>VLOOKUP($B74,Şablon!$E$3:$Q$255,9,FALSE)</f>
        <v>7</v>
      </c>
      <c r="X74" s="142" t="str">
        <f t="shared" si="22"/>
        <v/>
      </c>
      <c r="Y74" s="143" t="str">
        <f t="shared" si="23"/>
        <v/>
      </c>
      <c r="Z74" s="144" t="str">
        <f>IF(VLOOKUP($B74,'Satınalma Takvimi Veri Girişi'!$B$4:$AC$146,15,FALSE)&lt;&gt;"",VLOOKUP($B74,'Satınalma Takvimi Veri Girişi'!$B$4:$AC$146,15,FALSE),"")</f>
        <v/>
      </c>
      <c r="AA74" s="141">
        <f>VLOOKUP($B74,Şablon!$E$3:$Q$255,10,FALSE)</f>
        <v>14</v>
      </c>
      <c r="AB74" s="142" t="str">
        <f t="shared" si="24"/>
        <v/>
      </c>
      <c r="AC74" s="143" t="str">
        <f t="shared" si="25"/>
        <v/>
      </c>
      <c r="AD74" s="144" t="str">
        <f>IF(VLOOKUP($B74,'Satınalma Takvimi Veri Girişi'!$B$4:$AC$146,17,FALSE)&lt;&gt;"",VLOOKUP($B74,'Satınalma Takvimi Veri Girişi'!$B$4:$AC$146,17,FALSE),"")</f>
        <v/>
      </c>
      <c r="AE74" s="141">
        <f>(VLOOKUP($B74,Şablon!$E$3:$Q$255,11,FALSE)+VLOOKUP($B74,Şablon!$E$3:$Q$255,12,FALSE))</f>
        <v>35</v>
      </c>
      <c r="AF74" s="142" t="str">
        <f t="shared" si="26"/>
        <v/>
      </c>
      <c r="AG74" s="143" t="str">
        <f t="shared" si="27"/>
        <v/>
      </c>
      <c r="AH74" s="144" t="str">
        <f>IF(VLOOKUP($B74,'Satınalma Takvimi Veri Girişi'!$B$4:$AC$146,19,FALSE)&lt;&gt;"",VLOOKUP($B74,'Satınalma Takvimi Veri Girişi'!$B$4:$AC$146,19,FALSE),"")</f>
        <v/>
      </c>
      <c r="AI74" s="145" t="str">
        <f>IF(VLOOKUP($B74,'Satınalma Takvimi Veri Girişi'!$B$4:$AC$146,20,FALSE)&lt;&gt;"",VLOOKUP($B74,'Satınalma Takvimi Veri Girişi'!$B$4:$AC$146,20,FALSE),"")</f>
        <v/>
      </c>
      <c r="AJ74" s="144" t="str">
        <f>IF(VLOOKUP($B74,'Satınalma Takvimi Veri Girişi'!$B$4:$AC$146,21,FALSE)&lt;&gt;"",VLOOKUP($B74,'Satınalma Takvimi Veri Girişi'!$B$4:$AC$146,21,FALSE),"")</f>
        <v/>
      </c>
      <c r="AK74" s="146" t="str">
        <f>IF(VLOOKUP($B74,'Satınalma Takvimi Veri Girişi'!$B$4:$AC$146,22,FALSE)&lt;&gt;"",VLOOKUP($B74,'Satınalma Takvimi Veri Girişi'!$B$4:$AC$146,22,FALSE),"")</f>
        <v/>
      </c>
      <c r="AL74" s="147" t="str">
        <f>IF(VLOOKUP($B74,'Satınalma Takvimi Veri Girişi'!$B$4:$AC$146,23,FALSE)&lt;&gt;"",VLOOKUP($B74,'Satınalma Takvimi Veri Girişi'!$B$4:$AC$146,23,FALSE),"")</f>
        <v/>
      </c>
      <c r="AM74" s="147" t="str">
        <f>IF(VLOOKUP($B74,'Satınalma Takvimi Veri Girişi'!$B$4:$AC$146,24,FALSE)&lt;&gt;"",VLOOKUP($B74,'Satınalma Takvimi Veri Girişi'!$B$4:$AC$146,24,FALSE),"")</f>
        <v/>
      </c>
      <c r="AN74" s="147" t="str">
        <f>IF(VLOOKUP($B74,'Satınalma Takvimi Veri Girişi'!$B$4:$AC$146,25,FALSE)&lt;&gt;"",VLOOKUP($B74,'Satınalma Takvimi Veri Girişi'!$B$4:$AC$146,25,FALSE),"")</f>
        <v/>
      </c>
      <c r="AO74" s="147" t="str">
        <f>IF(VLOOKUP($B74,'Satınalma Takvimi Veri Girişi'!$B$4:$AC$146,26,FALSE)&lt;&gt;"",VLOOKUP($B74,'Satınalma Takvimi Veri Girişi'!$B$4:$AC$146,26,FALSE),"")</f>
        <v/>
      </c>
      <c r="AP74" s="147" t="str">
        <f>IF(VLOOKUP($B74,'Satınalma Takvimi Veri Girişi'!$B$4:$AC$146,27,FALSE)&lt;&gt;"",VLOOKUP($B74,'Satınalma Takvimi Veri Girişi'!$B$4:$AC$146,27,FALSE),"")</f>
        <v/>
      </c>
      <c r="AQ74" s="148" t="str">
        <f>IF(VLOOKUP($B74,'Satınalma Takvimi Veri Girişi'!$B$4:$AC$146,28,FALSE)&lt;&gt;"",VLOOKUP($B74,'Satınalma Takvimi Veri Girişi'!$B$4:$AC$146,28,FALSE),"")</f>
        <v/>
      </c>
    </row>
    <row r="75" spans="2:43" ht="19.95" customHeight="1" x14ac:dyDescent="0.3">
      <c r="B75" s="64" t="str">
        <f>Şablon!E74</f>
        <v>IHL.3028.069/1</v>
      </c>
      <c r="C75" s="139" t="str">
        <f>VLOOKUP($B75,Şablon!$E$3:$Q$255,2,FALSE)</f>
        <v>15.11.02 PORSELEN TEZGAH</v>
      </c>
      <c r="D75" s="161" t="str">
        <f>IF(VLOOKUP($B75,'Satınalma Takvimi Veri Girişi'!$B$4:$AC$146,3,FALSE)&lt;&gt;"",VLOOKUP($B75,'Satınalma Takvimi Veri Girişi'!$B$4:$AC$146,3,FALSE),"")</f>
        <v/>
      </c>
      <c r="E75" s="139" t="str">
        <f>VLOOKUP($B75,Şablon!$E$3:$Q$255,3,FALSE)</f>
        <v>B KATEGORİ</v>
      </c>
      <c r="F75" s="140" t="str">
        <f>VLOOKUP($B75,Şablon!$E$3:$Q$255,4,FALSE)</f>
        <v>İNŞ</v>
      </c>
      <c r="G75" s="141">
        <f>VLOOKUP($B75,Şablon!$E$3:$Q$255,5,FALSE)</f>
        <v>0</v>
      </c>
      <c r="H75" s="142" t="str">
        <f t="shared" si="14"/>
        <v/>
      </c>
      <c r="I75" s="143" t="str">
        <f t="shared" si="15"/>
        <v/>
      </c>
      <c r="J75" s="144" t="str">
        <f>IF(VLOOKUP($B75,'Satınalma Takvimi Veri Girişi'!$B$4:$AC$146,7,FALSE)&lt;&gt;"",VLOOKUP($B75,'Satınalma Takvimi Veri Girişi'!$B$4:$AC$146,7,FALSE),"")</f>
        <v/>
      </c>
      <c r="K75" s="141">
        <f>VLOOKUP($B75,Şablon!$E$3:$Q$255,6,FALSE)</f>
        <v>14</v>
      </c>
      <c r="L75" s="142" t="str">
        <f t="shared" si="16"/>
        <v/>
      </c>
      <c r="M75" s="143" t="str">
        <f t="shared" si="17"/>
        <v/>
      </c>
      <c r="N75" s="144" t="str">
        <f>IF(VLOOKUP($B75,'Satınalma Takvimi Veri Girişi'!$B$4:$AC$146,9,FALSE)&lt;&gt;"",VLOOKUP($B75,'Satınalma Takvimi Veri Girişi'!$B$4:$AC$146,9,FALSE),"")</f>
        <v/>
      </c>
      <c r="O75" s="141">
        <f>VLOOKUP($B75,Şablon!$E$3:$Q$255,7,FALSE)</f>
        <v>7</v>
      </c>
      <c r="P75" s="142" t="str">
        <f t="shared" si="18"/>
        <v/>
      </c>
      <c r="Q75" s="143" t="str">
        <f t="shared" si="19"/>
        <v/>
      </c>
      <c r="R75" s="144" t="str">
        <f>IF(VLOOKUP($B75,'Satınalma Takvimi Veri Girişi'!$B$4:$AC$146,11,FALSE)&lt;&gt;"",VLOOKUP($B75,'Satınalma Takvimi Veri Girişi'!$B$4:$AC$146,11,FALSE),"")</f>
        <v/>
      </c>
      <c r="S75" s="141">
        <f>VLOOKUP($B75,Şablon!$E$3:$Q$255,8,FALSE)</f>
        <v>21</v>
      </c>
      <c r="T75" s="142" t="str">
        <f t="shared" si="20"/>
        <v/>
      </c>
      <c r="U75" s="143" t="str">
        <f t="shared" si="21"/>
        <v/>
      </c>
      <c r="V75" s="144" t="str">
        <f>IF(VLOOKUP($B75,'Satınalma Takvimi Veri Girişi'!$B$4:$AC$146,13,FALSE)&lt;&gt;"",VLOOKUP($B75,'Satınalma Takvimi Veri Girişi'!$B$4:$AC$146,13,FALSE),"")</f>
        <v/>
      </c>
      <c r="W75" s="141">
        <f>VLOOKUP($B75,Şablon!$E$3:$Q$255,9,FALSE)</f>
        <v>7</v>
      </c>
      <c r="X75" s="142" t="str">
        <f t="shared" si="22"/>
        <v/>
      </c>
      <c r="Y75" s="143" t="str">
        <f t="shared" si="23"/>
        <v/>
      </c>
      <c r="Z75" s="144" t="str">
        <f>IF(VLOOKUP($B75,'Satınalma Takvimi Veri Girişi'!$B$4:$AC$146,15,FALSE)&lt;&gt;"",VLOOKUP($B75,'Satınalma Takvimi Veri Girişi'!$B$4:$AC$146,15,FALSE),"")</f>
        <v/>
      </c>
      <c r="AA75" s="141">
        <f>VLOOKUP($B75,Şablon!$E$3:$Q$255,10,FALSE)</f>
        <v>14</v>
      </c>
      <c r="AB75" s="142" t="str">
        <f t="shared" si="24"/>
        <v/>
      </c>
      <c r="AC75" s="143" t="str">
        <f t="shared" si="25"/>
        <v/>
      </c>
      <c r="AD75" s="144" t="str">
        <f>IF(VLOOKUP($B75,'Satınalma Takvimi Veri Girişi'!$B$4:$AC$146,17,FALSE)&lt;&gt;"",VLOOKUP($B75,'Satınalma Takvimi Veri Girişi'!$B$4:$AC$146,17,FALSE),"")</f>
        <v/>
      </c>
      <c r="AE75" s="141">
        <f>(VLOOKUP($B75,Şablon!$E$3:$Q$255,11,FALSE)+VLOOKUP($B75,Şablon!$E$3:$Q$255,12,FALSE))</f>
        <v>35</v>
      </c>
      <c r="AF75" s="142" t="str">
        <f t="shared" si="26"/>
        <v/>
      </c>
      <c r="AG75" s="143" t="str">
        <f t="shared" si="27"/>
        <v/>
      </c>
      <c r="AH75" s="144" t="str">
        <f>IF(VLOOKUP($B75,'Satınalma Takvimi Veri Girişi'!$B$4:$AC$146,19,FALSE)&lt;&gt;"",VLOOKUP($B75,'Satınalma Takvimi Veri Girişi'!$B$4:$AC$146,19,FALSE),"")</f>
        <v/>
      </c>
      <c r="AI75" s="145" t="str">
        <f>IF(VLOOKUP($B75,'Satınalma Takvimi Veri Girişi'!$B$4:$AC$146,20,FALSE)&lt;&gt;"",VLOOKUP($B75,'Satınalma Takvimi Veri Girişi'!$B$4:$AC$146,20,FALSE),"")</f>
        <v/>
      </c>
      <c r="AJ75" s="144" t="str">
        <f>IF(VLOOKUP($B75,'Satınalma Takvimi Veri Girişi'!$B$4:$AC$146,21,FALSE)&lt;&gt;"",VLOOKUP($B75,'Satınalma Takvimi Veri Girişi'!$B$4:$AC$146,21,FALSE),"")</f>
        <v/>
      </c>
      <c r="AK75" s="146" t="str">
        <f>IF(VLOOKUP($B75,'Satınalma Takvimi Veri Girişi'!$B$4:$AC$146,22,FALSE)&lt;&gt;"",VLOOKUP($B75,'Satınalma Takvimi Veri Girişi'!$B$4:$AC$146,22,FALSE),"")</f>
        <v/>
      </c>
      <c r="AL75" s="147" t="str">
        <f>IF(VLOOKUP($B75,'Satınalma Takvimi Veri Girişi'!$B$4:$AC$146,23,FALSE)&lt;&gt;"",VLOOKUP($B75,'Satınalma Takvimi Veri Girişi'!$B$4:$AC$146,23,FALSE),"")</f>
        <v/>
      </c>
      <c r="AM75" s="147" t="str">
        <f>IF(VLOOKUP($B75,'Satınalma Takvimi Veri Girişi'!$B$4:$AC$146,24,FALSE)&lt;&gt;"",VLOOKUP($B75,'Satınalma Takvimi Veri Girişi'!$B$4:$AC$146,24,FALSE),"")</f>
        <v/>
      </c>
      <c r="AN75" s="147" t="str">
        <f>IF(VLOOKUP($B75,'Satınalma Takvimi Veri Girişi'!$B$4:$AC$146,25,FALSE)&lt;&gt;"",VLOOKUP($B75,'Satınalma Takvimi Veri Girişi'!$B$4:$AC$146,25,FALSE),"")</f>
        <v/>
      </c>
      <c r="AO75" s="147" t="str">
        <f>IF(VLOOKUP($B75,'Satınalma Takvimi Veri Girişi'!$B$4:$AC$146,26,FALSE)&lt;&gt;"",VLOOKUP($B75,'Satınalma Takvimi Veri Girişi'!$B$4:$AC$146,26,FALSE),"")</f>
        <v/>
      </c>
      <c r="AP75" s="147" t="str">
        <f>IF(VLOOKUP($B75,'Satınalma Takvimi Veri Girişi'!$B$4:$AC$146,27,FALSE)&lt;&gt;"",VLOOKUP($B75,'Satınalma Takvimi Veri Girişi'!$B$4:$AC$146,27,FALSE),"")</f>
        <v/>
      </c>
      <c r="AQ75" s="148" t="str">
        <f>IF(VLOOKUP($B75,'Satınalma Takvimi Veri Girişi'!$B$4:$AC$146,28,FALSE)&lt;&gt;"",VLOOKUP($B75,'Satınalma Takvimi Veri Girişi'!$B$4:$AC$146,28,FALSE),"")</f>
        <v/>
      </c>
    </row>
    <row r="76" spans="2:43" ht="19.95" customHeight="1" x14ac:dyDescent="0.3">
      <c r="B76" s="64" t="str">
        <f>Şablon!E75</f>
        <v>IHL.3028.070/1</v>
      </c>
      <c r="C76" s="139" t="str">
        <f>VLOOKUP($B76,Şablon!$E$3:$Q$255,2,FALSE)</f>
        <v>15.05.00 (M) DUVAR KAĞIDI İŞLERİ</v>
      </c>
      <c r="D76" s="161" t="str">
        <f>IF(VLOOKUP($B76,'Satınalma Takvimi Veri Girişi'!$B$4:$AC$146,3,FALSE)&lt;&gt;"",VLOOKUP($B76,'Satınalma Takvimi Veri Girişi'!$B$4:$AC$146,3,FALSE),"")</f>
        <v/>
      </c>
      <c r="E76" s="139" t="str">
        <f>VLOOKUP($B76,Şablon!$E$3:$Q$255,3,FALSE)</f>
        <v>B KATEGORİ</v>
      </c>
      <c r="F76" s="140" t="str">
        <f>VLOOKUP($B76,Şablon!$E$3:$Q$255,4,FALSE)</f>
        <v>İNŞ</v>
      </c>
      <c r="G76" s="141">
        <f>VLOOKUP($B76,Şablon!$E$3:$Q$255,5,FALSE)</f>
        <v>0</v>
      </c>
      <c r="H76" s="142" t="str">
        <f t="shared" si="14"/>
        <v/>
      </c>
      <c r="I76" s="143" t="str">
        <f t="shared" si="15"/>
        <v/>
      </c>
      <c r="J76" s="144" t="str">
        <f>IF(VLOOKUP($B76,'Satınalma Takvimi Veri Girişi'!$B$4:$AC$146,7,FALSE)&lt;&gt;"",VLOOKUP($B76,'Satınalma Takvimi Veri Girişi'!$B$4:$AC$146,7,FALSE),"")</f>
        <v/>
      </c>
      <c r="K76" s="141">
        <f>VLOOKUP($B76,Şablon!$E$3:$Q$255,6,FALSE)</f>
        <v>14</v>
      </c>
      <c r="L76" s="142" t="str">
        <f t="shared" si="16"/>
        <v/>
      </c>
      <c r="M76" s="143" t="str">
        <f t="shared" si="17"/>
        <v/>
      </c>
      <c r="N76" s="144" t="str">
        <f>IF(VLOOKUP($B76,'Satınalma Takvimi Veri Girişi'!$B$4:$AC$146,9,FALSE)&lt;&gt;"",VLOOKUP($B76,'Satınalma Takvimi Veri Girişi'!$B$4:$AC$146,9,FALSE),"")</f>
        <v/>
      </c>
      <c r="O76" s="141">
        <f>VLOOKUP($B76,Şablon!$E$3:$Q$255,7,FALSE)</f>
        <v>7</v>
      </c>
      <c r="P76" s="142" t="str">
        <f t="shared" si="18"/>
        <v/>
      </c>
      <c r="Q76" s="143" t="str">
        <f t="shared" si="19"/>
        <v/>
      </c>
      <c r="R76" s="144" t="str">
        <f>IF(VLOOKUP($B76,'Satınalma Takvimi Veri Girişi'!$B$4:$AC$146,11,FALSE)&lt;&gt;"",VLOOKUP($B76,'Satınalma Takvimi Veri Girişi'!$B$4:$AC$146,11,FALSE),"")</f>
        <v/>
      </c>
      <c r="S76" s="141">
        <f>VLOOKUP($B76,Şablon!$E$3:$Q$255,8,FALSE)</f>
        <v>14</v>
      </c>
      <c r="T76" s="142" t="str">
        <f t="shared" si="20"/>
        <v/>
      </c>
      <c r="U76" s="143" t="str">
        <f t="shared" si="21"/>
        <v/>
      </c>
      <c r="V76" s="144" t="str">
        <f>IF(VLOOKUP($B76,'Satınalma Takvimi Veri Girişi'!$B$4:$AC$146,13,FALSE)&lt;&gt;"",VLOOKUP($B76,'Satınalma Takvimi Veri Girişi'!$B$4:$AC$146,13,FALSE),"")</f>
        <v/>
      </c>
      <c r="W76" s="141">
        <f>VLOOKUP($B76,Şablon!$E$3:$Q$255,9,FALSE)</f>
        <v>7</v>
      </c>
      <c r="X76" s="142" t="str">
        <f t="shared" si="22"/>
        <v/>
      </c>
      <c r="Y76" s="143" t="str">
        <f t="shared" si="23"/>
        <v/>
      </c>
      <c r="Z76" s="144" t="str">
        <f>IF(VLOOKUP($B76,'Satınalma Takvimi Veri Girişi'!$B$4:$AC$146,15,FALSE)&lt;&gt;"",VLOOKUP($B76,'Satınalma Takvimi Veri Girişi'!$B$4:$AC$146,15,FALSE),"")</f>
        <v/>
      </c>
      <c r="AA76" s="141">
        <f>VLOOKUP($B76,Şablon!$E$3:$Q$255,10,FALSE)</f>
        <v>7</v>
      </c>
      <c r="AB76" s="142" t="str">
        <f t="shared" si="24"/>
        <v/>
      </c>
      <c r="AC76" s="143" t="str">
        <f t="shared" si="25"/>
        <v/>
      </c>
      <c r="AD76" s="144" t="str">
        <f>IF(VLOOKUP($B76,'Satınalma Takvimi Veri Girişi'!$B$4:$AC$146,17,FALSE)&lt;&gt;"",VLOOKUP($B76,'Satınalma Takvimi Veri Girişi'!$B$4:$AC$146,17,FALSE),"")</f>
        <v/>
      </c>
      <c r="AE76" s="141">
        <f>(VLOOKUP($B76,Şablon!$E$3:$Q$255,11,FALSE)+VLOOKUP($B76,Şablon!$E$3:$Q$255,12,FALSE))</f>
        <v>67</v>
      </c>
      <c r="AF76" s="142" t="str">
        <f t="shared" si="26"/>
        <v/>
      </c>
      <c r="AG76" s="143" t="str">
        <f t="shared" si="27"/>
        <v/>
      </c>
      <c r="AH76" s="144" t="str">
        <f>IF(VLOOKUP($B76,'Satınalma Takvimi Veri Girişi'!$B$4:$AC$146,19,FALSE)&lt;&gt;"",VLOOKUP($B76,'Satınalma Takvimi Veri Girişi'!$B$4:$AC$146,19,FALSE),"")</f>
        <v/>
      </c>
      <c r="AI76" s="145" t="str">
        <f>IF(VLOOKUP($B76,'Satınalma Takvimi Veri Girişi'!$B$4:$AC$146,20,FALSE)&lt;&gt;"",VLOOKUP($B76,'Satınalma Takvimi Veri Girişi'!$B$4:$AC$146,20,FALSE),"")</f>
        <v/>
      </c>
      <c r="AJ76" s="144" t="str">
        <f>IF(VLOOKUP($B76,'Satınalma Takvimi Veri Girişi'!$B$4:$AC$146,21,FALSE)&lt;&gt;"",VLOOKUP($B76,'Satınalma Takvimi Veri Girişi'!$B$4:$AC$146,21,FALSE),"")</f>
        <v/>
      </c>
      <c r="AK76" s="146" t="str">
        <f>IF(VLOOKUP($B76,'Satınalma Takvimi Veri Girişi'!$B$4:$AC$146,22,FALSE)&lt;&gt;"",VLOOKUP($B76,'Satınalma Takvimi Veri Girişi'!$B$4:$AC$146,22,FALSE),"")</f>
        <v/>
      </c>
      <c r="AL76" s="147" t="str">
        <f>IF(VLOOKUP($B76,'Satınalma Takvimi Veri Girişi'!$B$4:$AC$146,23,FALSE)&lt;&gt;"",VLOOKUP($B76,'Satınalma Takvimi Veri Girişi'!$B$4:$AC$146,23,FALSE),"")</f>
        <v/>
      </c>
      <c r="AM76" s="147" t="str">
        <f>IF(VLOOKUP($B76,'Satınalma Takvimi Veri Girişi'!$B$4:$AC$146,24,FALSE)&lt;&gt;"",VLOOKUP($B76,'Satınalma Takvimi Veri Girişi'!$B$4:$AC$146,24,FALSE),"")</f>
        <v/>
      </c>
      <c r="AN76" s="147" t="str">
        <f>IF(VLOOKUP($B76,'Satınalma Takvimi Veri Girişi'!$B$4:$AC$146,25,FALSE)&lt;&gt;"",VLOOKUP($B76,'Satınalma Takvimi Veri Girişi'!$B$4:$AC$146,25,FALSE),"")</f>
        <v/>
      </c>
      <c r="AO76" s="147" t="str">
        <f>IF(VLOOKUP($B76,'Satınalma Takvimi Veri Girişi'!$B$4:$AC$146,26,FALSE)&lt;&gt;"",VLOOKUP($B76,'Satınalma Takvimi Veri Girişi'!$B$4:$AC$146,26,FALSE),"")</f>
        <v/>
      </c>
      <c r="AP76" s="147" t="str">
        <f>IF(VLOOKUP($B76,'Satınalma Takvimi Veri Girişi'!$B$4:$AC$146,27,FALSE)&lt;&gt;"",VLOOKUP($B76,'Satınalma Takvimi Veri Girişi'!$B$4:$AC$146,27,FALSE),"")</f>
        <v/>
      </c>
      <c r="AQ76" s="148" t="str">
        <f>IF(VLOOKUP($B76,'Satınalma Takvimi Veri Girişi'!$B$4:$AC$146,28,FALSE)&lt;&gt;"",VLOOKUP($B76,'Satınalma Takvimi Veri Girişi'!$B$4:$AC$146,28,FALSE),"")</f>
        <v/>
      </c>
    </row>
    <row r="77" spans="2:43" ht="19.95" customHeight="1" x14ac:dyDescent="0.3">
      <c r="B77" s="64" t="str">
        <f>Şablon!E76</f>
        <v>IHL.3028.071/1</v>
      </c>
      <c r="C77" s="139" t="str">
        <f>VLOOKUP($B77,Şablon!$E$3:$Q$255,2,FALSE)</f>
        <v>15.05.00 DUVAR KAĞIDI İŞLERİ</v>
      </c>
      <c r="D77" s="161" t="str">
        <f>IF(VLOOKUP($B77,'Satınalma Takvimi Veri Girişi'!$B$4:$AC$146,3,FALSE)&lt;&gt;"",VLOOKUP($B77,'Satınalma Takvimi Veri Girişi'!$B$4:$AC$146,3,FALSE),"")</f>
        <v/>
      </c>
      <c r="E77" s="139" t="str">
        <f>VLOOKUP($B77,Şablon!$E$3:$Q$255,3,FALSE)</f>
        <v>B KATEGORİ</v>
      </c>
      <c r="F77" s="140" t="str">
        <f>VLOOKUP($B77,Şablon!$E$3:$Q$255,4,FALSE)</f>
        <v>İNŞ</v>
      </c>
      <c r="G77" s="141">
        <f>VLOOKUP($B77,Şablon!$E$3:$Q$255,5,FALSE)</f>
        <v>0</v>
      </c>
      <c r="H77" s="142" t="str">
        <f t="shared" si="14"/>
        <v/>
      </c>
      <c r="I77" s="143" t="str">
        <f t="shared" si="15"/>
        <v/>
      </c>
      <c r="J77" s="144" t="str">
        <f>IF(VLOOKUP($B77,'Satınalma Takvimi Veri Girişi'!$B$4:$AC$146,7,FALSE)&lt;&gt;"",VLOOKUP($B77,'Satınalma Takvimi Veri Girişi'!$B$4:$AC$146,7,FALSE),"")</f>
        <v/>
      </c>
      <c r="K77" s="141">
        <f>VLOOKUP($B77,Şablon!$E$3:$Q$255,6,FALSE)</f>
        <v>14</v>
      </c>
      <c r="L77" s="142" t="str">
        <f t="shared" si="16"/>
        <v/>
      </c>
      <c r="M77" s="143" t="str">
        <f t="shared" si="17"/>
        <v/>
      </c>
      <c r="N77" s="144" t="str">
        <f>IF(VLOOKUP($B77,'Satınalma Takvimi Veri Girişi'!$B$4:$AC$146,9,FALSE)&lt;&gt;"",VLOOKUP($B77,'Satınalma Takvimi Veri Girişi'!$B$4:$AC$146,9,FALSE),"")</f>
        <v/>
      </c>
      <c r="O77" s="141">
        <f>VLOOKUP($B77,Şablon!$E$3:$Q$255,7,FALSE)</f>
        <v>7</v>
      </c>
      <c r="P77" s="142" t="str">
        <f t="shared" si="18"/>
        <v/>
      </c>
      <c r="Q77" s="143" t="str">
        <f t="shared" si="19"/>
        <v/>
      </c>
      <c r="R77" s="144" t="str">
        <f>IF(VLOOKUP($B77,'Satınalma Takvimi Veri Girişi'!$B$4:$AC$146,11,FALSE)&lt;&gt;"",VLOOKUP($B77,'Satınalma Takvimi Veri Girişi'!$B$4:$AC$146,11,FALSE),"")</f>
        <v/>
      </c>
      <c r="S77" s="141">
        <f>VLOOKUP($B77,Şablon!$E$3:$Q$255,8,FALSE)</f>
        <v>14</v>
      </c>
      <c r="T77" s="142" t="str">
        <f t="shared" si="20"/>
        <v/>
      </c>
      <c r="U77" s="143" t="str">
        <f t="shared" si="21"/>
        <v/>
      </c>
      <c r="V77" s="144" t="str">
        <f>IF(VLOOKUP($B77,'Satınalma Takvimi Veri Girişi'!$B$4:$AC$146,13,FALSE)&lt;&gt;"",VLOOKUP($B77,'Satınalma Takvimi Veri Girişi'!$B$4:$AC$146,13,FALSE),"")</f>
        <v/>
      </c>
      <c r="W77" s="141">
        <f>VLOOKUP($B77,Şablon!$E$3:$Q$255,9,FALSE)</f>
        <v>7</v>
      </c>
      <c r="X77" s="142" t="str">
        <f t="shared" si="22"/>
        <v/>
      </c>
      <c r="Y77" s="143" t="str">
        <f t="shared" si="23"/>
        <v/>
      </c>
      <c r="Z77" s="144" t="str">
        <f>IF(VLOOKUP($B77,'Satınalma Takvimi Veri Girişi'!$B$4:$AC$146,15,FALSE)&lt;&gt;"",VLOOKUP($B77,'Satınalma Takvimi Veri Girişi'!$B$4:$AC$146,15,FALSE),"")</f>
        <v/>
      </c>
      <c r="AA77" s="141">
        <f>VLOOKUP($B77,Şablon!$E$3:$Q$255,10,FALSE)</f>
        <v>7</v>
      </c>
      <c r="AB77" s="142" t="str">
        <f t="shared" si="24"/>
        <v/>
      </c>
      <c r="AC77" s="143" t="str">
        <f t="shared" si="25"/>
        <v/>
      </c>
      <c r="AD77" s="144" t="str">
        <f>IF(VLOOKUP($B77,'Satınalma Takvimi Veri Girişi'!$B$4:$AC$146,17,FALSE)&lt;&gt;"",VLOOKUP($B77,'Satınalma Takvimi Veri Girişi'!$B$4:$AC$146,17,FALSE),"")</f>
        <v/>
      </c>
      <c r="AE77" s="141">
        <f>(VLOOKUP($B77,Şablon!$E$3:$Q$255,11,FALSE)+VLOOKUP($B77,Şablon!$E$3:$Q$255,12,FALSE))</f>
        <v>7</v>
      </c>
      <c r="AF77" s="142" t="str">
        <f t="shared" si="26"/>
        <v/>
      </c>
      <c r="AG77" s="143" t="str">
        <f t="shared" si="27"/>
        <v/>
      </c>
      <c r="AH77" s="144" t="str">
        <f>IF(VLOOKUP($B77,'Satınalma Takvimi Veri Girişi'!$B$4:$AC$146,19,FALSE)&lt;&gt;"",VLOOKUP($B77,'Satınalma Takvimi Veri Girişi'!$B$4:$AC$146,19,FALSE),"")</f>
        <v/>
      </c>
      <c r="AI77" s="145" t="str">
        <f>IF(VLOOKUP($B77,'Satınalma Takvimi Veri Girişi'!$B$4:$AC$146,20,FALSE)&lt;&gt;"",VLOOKUP($B77,'Satınalma Takvimi Veri Girişi'!$B$4:$AC$146,20,FALSE),"")</f>
        <v/>
      </c>
      <c r="AJ77" s="144" t="str">
        <f>IF(VLOOKUP($B77,'Satınalma Takvimi Veri Girişi'!$B$4:$AC$146,21,FALSE)&lt;&gt;"",VLOOKUP($B77,'Satınalma Takvimi Veri Girişi'!$B$4:$AC$146,21,FALSE),"")</f>
        <v/>
      </c>
      <c r="AK77" s="146" t="str">
        <f>IF(VLOOKUP($B77,'Satınalma Takvimi Veri Girişi'!$B$4:$AC$146,22,FALSE)&lt;&gt;"",VLOOKUP($B77,'Satınalma Takvimi Veri Girişi'!$B$4:$AC$146,22,FALSE),"")</f>
        <v/>
      </c>
      <c r="AL77" s="147" t="str">
        <f>IF(VLOOKUP($B77,'Satınalma Takvimi Veri Girişi'!$B$4:$AC$146,23,FALSE)&lt;&gt;"",VLOOKUP($B77,'Satınalma Takvimi Veri Girişi'!$B$4:$AC$146,23,FALSE),"")</f>
        <v/>
      </c>
      <c r="AM77" s="147" t="str">
        <f>IF(VLOOKUP($B77,'Satınalma Takvimi Veri Girişi'!$B$4:$AC$146,24,FALSE)&lt;&gt;"",VLOOKUP($B77,'Satınalma Takvimi Veri Girişi'!$B$4:$AC$146,24,FALSE),"")</f>
        <v/>
      </c>
      <c r="AN77" s="147" t="str">
        <f>IF(VLOOKUP($B77,'Satınalma Takvimi Veri Girişi'!$B$4:$AC$146,25,FALSE)&lt;&gt;"",VLOOKUP($B77,'Satınalma Takvimi Veri Girişi'!$B$4:$AC$146,25,FALSE),"")</f>
        <v/>
      </c>
      <c r="AO77" s="147" t="str">
        <f>IF(VLOOKUP($B77,'Satınalma Takvimi Veri Girişi'!$B$4:$AC$146,26,FALSE)&lt;&gt;"",VLOOKUP($B77,'Satınalma Takvimi Veri Girişi'!$B$4:$AC$146,26,FALSE),"")</f>
        <v/>
      </c>
      <c r="AP77" s="147" t="str">
        <f>IF(VLOOKUP($B77,'Satınalma Takvimi Veri Girişi'!$B$4:$AC$146,27,FALSE)&lt;&gt;"",VLOOKUP($B77,'Satınalma Takvimi Veri Girişi'!$B$4:$AC$146,27,FALSE),"")</f>
        <v/>
      </c>
      <c r="AQ77" s="148" t="str">
        <f>IF(VLOOKUP($B77,'Satınalma Takvimi Veri Girişi'!$B$4:$AC$146,28,FALSE)&lt;&gt;"",VLOOKUP($B77,'Satınalma Takvimi Veri Girişi'!$B$4:$AC$146,28,FALSE),"")</f>
        <v/>
      </c>
    </row>
    <row r="78" spans="2:43" ht="19.95" customHeight="1" x14ac:dyDescent="0.3">
      <c r="B78" s="64" t="str">
        <f>Şablon!E77</f>
        <v>IHL.3028.072/1</v>
      </c>
      <c r="C78" s="139" t="str">
        <f>VLOOKUP($B78,Şablon!$E$3:$Q$255,2,FALSE)</f>
        <v>15.14.04 (M) VİTRİFİYE MALZEME TEMİNİ</v>
      </c>
      <c r="D78" s="161" t="str">
        <f>IF(VLOOKUP($B78,'Satınalma Takvimi Veri Girişi'!$B$4:$AC$146,3,FALSE)&lt;&gt;"",VLOOKUP($B78,'Satınalma Takvimi Veri Girişi'!$B$4:$AC$146,3,FALSE),"")</f>
        <v/>
      </c>
      <c r="E78" s="139" t="str">
        <f>VLOOKUP($B78,Şablon!$E$3:$Q$255,3,FALSE)</f>
        <v>B KATEGORİ</v>
      </c>
      <c r="F78" s="140" t="str">
        <f>VLOOKUP($B78,Şablon!$E$3:$Q$255,4,FALSE)</f>
        <v>İNŞ</v>
      </c>
      <c r="G78" s="141">
        <f>VLOOKUP($B78,Şablon!$E$3:$Q$255,5,FALSE)</f>
        <v>0</v>
      </c>
      <c r="H78" s="142" t="str">
        <f t="shared" si="14"/>
        <v/>
      </c>
      <c r="I78" s="143" t="str">
        <f t="shared" si="15"/>
        <v/>
      </c>
      <c r="J78" s="144" t="str">
        <f>IF(VLOOKUP($B78,'Satınalma Takvimi Veri Girişi'!$B$4:$AC$146,7,FALSE)&lt;&gt;"",VLOOKUP($B78,'Satınalma Takvimi Veri Girişi'!$B$4:$AC$146,7,FALSE),"")</f>
        <v/>
      </c>
      <c r="K78" s="141">
        <f>VLOOKUP($B78,Şablon!$E$3:$Q$255,6,FALSE)</f>
        <v>14</v>
      </c>
      <c r="L78" s="142" t="str">
        <f t="shared" si="16"/>
        <v/>
      </c>
      <c r="M78" s="143" t="str">
        <f t="shared" si="17"/>
        <v/>
      </c>
      <c r="N78" s="144" t="str">
        <f>IF(VLOOKUP($B78,'Satınalma Takvimi Veri Girişi'!$B$4:$AC$146,9,FALSE)&lt;&gt;"",VLOOKUP($B78,'Satınalma Takvimi Veri Girişi'!$B$4:$AC$146,9,FALSE),"")</f>
        <v/>
      </c>
      <c r="O78" s="141">
        <f>VLOOKUP($B78,Şablon!$E$3:$Q$255,7,FALSE)</f>
        <v>7</v>
      </c>
      <c r="P78" s="142" t="str">
        <f t="shared" si="18"/>
        <v/>
      </c>
      <c r="Q78" s="143" t="str">
        <f t="shared" si="19"/>
        <v/>
      </c>
      <c r="R78" s="144" t="str">
        <f>IF(VLOOKUP($B78,'Satınalma Takvimi Veri Girişi'!$B$4:$AC$146,11,FALSE)&lt;&gt;"",VLOOKUP($B78,'Satınalma Takvimi Veri Girişi'!$B$4:$AC$146,11,FALSE),"")</f>
        <v/>
      </c>
      <c r="S78" s="141">
        <f>VLOOKUP($B78,Şablon!$E$3:$Q$255,8,FALSE)</f>
        <v>21</v>
      </c>
      <c r="T78" s="142" t="str">
        <f t="shared" si="20"/>
        <v/>
      </c>
      <c r="U78" s="143" t="str">
        <f t="shared" si="21"/>
        <v/>
      </c>
      <c r="V78" s="144" t="str">
        <f>IF(VLOOKUP($B78,'Satınalma Takvimi Veri Girişi'!$B$4:$AC$146,13,FALSE)&lt;&gt;"",VLOOKUP($B78,'Satınalma Takvimi Veri Girişi'!$B$4:$AC$146,13,FALSE),"")</f>
        <v/>
      </c>
      <c r="W78" s="141">
        <f>VLOOKUP($B78,Şablon!$E$3:$Q$255,9,FALSE)</f>
        <v>7</v>
      </c>
      <c r="X78" s="142" t="str">
        <f t="shared" si="22"/>
        <v/>
      </c>
      <c r="Y78" s="143" t="str">
        <f t="shared" si="23"/>
        <v/>
      </c>
      <c r="Z78" s="144" t="str">
        <f>IF(VLOOKUP($B78,'Satınalma Takvimi Veri Girişi'!$B$4:$AC$146,15,FALSE)&lt;&gt;"",VLOOKUP($B78,'Satınalma Takvimi Veri Girişi'!$B$4:$AC$146,15,FALSE),"")</f>
        <v/>
      </c>
      <c r="AA78" s="141">
        <f>VLOOKUP($B78,Şablon!$E$3:$Q$255,10,FALSE)</f>
        <v>7</v>
      </c>
      <c r="AB78" s="142" t="str">
        <f t="shared" si="24"/>
        <v/>
      </c>
      <c r="AC78" s="143" t="str">
        <f t="shared" si="25"/>
        <v/>
      </c>
      <c r="AD78" s="144" t="str">
        <f>IF(VLOOKUP($B78,'Satınalma Takvimi Veri Girişi'!$B$4:$AC$146,17,FALSE)&lt;&gt;"",VLOOKUP($B78,'Satınalma Takvimi Veri Girişi'!$B$4:$AC$146,17,FALSE),"")</f>
        <v/>
      </c>
      <c r="AE78" s="141">
        <f>(VLOOKUP($B78,Şablon!$E$3:$Q$255,11,FALSE)+VLOOKUP($B78,Şablon!$E$3:$Q$255,12,FALSE))</f>
        <v>67</v>
      </c>
      <c r="AF78" s="142" t="str">
        <f t="shared" si="26"/>
        <v/>
      </c>
      <c r="AG78" s="143" t="str">
        <f t="shared" si="27"/>
        <v/>
      </c>
      <c r="AH78" s="144" t="str">
        <f>IF(VLOOKUP($B78,'Satınalma Takvimi Veri Girişi'!$B$4:$AC$146,19,FALSE)&lt;&gt;"",VLOOKUP($B78,'Satınalma Takvimi Veri Girişi'!$B$4:$AC$146,19,FALSE),"")</f>
        <v/>
      </c>
      <c r="AI78" s="145" t="str">
        <f>IF(VLOOKUP($B78,'Satınalma Takvimi Veri Girişi'!$B$4:$AC$146,20,FALSE)&lt;&gt;"",VLOOKUP($B78,'Satınalma Takvimi Veri Girişi'!$B$4:$AC$146,20,FALSE),"")</f>
        <v/>
      </c>
      <c r="AJ78" s="144" t="str">
        <f>IF(VLOOKUP($B78,'Satınalma Takvimi Veri Girişi'!$B$4:$AC$146,21,FALSE)&lt;&gt;"",VLOOKUP($B78,'Satınalma Takvimi Veri Girişi'!$B$4:$AC$146,21,FALSE),"")</f>
        <v/>
      </c>
      <c r="AK78" s="146" t="str">
        <f>IF(VLOOKUP($B78,'Satınalma Takvimi Veri Girişi'!$B$4:$AC$146,22,FALSE)&lt;&gt;"",VLOOKUP($B78,'Satınalma Takvimi Veri Girişi'!$B$4:$AC$146,22,FALSE),"")</f>
        <v/>
      </c>
      <c r="AL78" s="147" t="str">
        <f>IF(VLOOKUP($B78,'Satınalma Takvimi Veri Girişi'!$B$4:$AC$146,23,FALSE)&lt;&gt;"",VLOOKUP($B78,'Satınalma Takvimi Veri Girişi'!$B$4:$AC$146,23,FALSE),"")</f>
        <v/>
      </c>
      <c r="AM78" s="147" t="str">
        <f>IF(VLOOKUP($B78,'Satınalma Takvimi Veri Girişi'!$B$4:$AC$146,24,FALSE)&lt;&gt;"",VLOOKUP($B78,'Satınalma Takvimi Veri Girişi'!$B$4:$AC$146,24,FALSE),"")</f>
        <v/>
      </c>
      <c r="AN78" s="147" t="str">
        <f>IF(VLOOKUP($B78,'Satınalma Takvimi Veri Girişi'!$B$4:$AC$146,25,FALSE)&lt;&gt;"",VLOOKUP($B78,'Satınalma Takvimi Veri Girişi'!$B$4:$AC$146,25,FALSE),"")</f>
        <v/>
      </c>
      <c r="AO78" s="147" t="str">
        <f>IF(VLOOKUP($B78,'Satınalma Takvimi Veri Girişi'!$B$4:$AC$146,26,FALSE)&lt;&gt;"",VLOOKUP($B78,'Satınalma Takvimi Veri Girişi'!$B$4:$AC$146,26,FALSE),"")</f>
        <v/>
      </c>
      <c r="AP78" s="147" t="str">
        <f>IF(VLOOKUP($B78,'Satınalma Takvimi Veri Girişi'!$B$4:$AC$146,27,FALSE)&lt;&gt;"",VLOOKUP($B78,'Satınalma Takvimi Veri Girişi'!$B$4:$AC$146,27,FALSE),"")</f>
        <v/>
      </c>
      <c r="AQ78" s="148" t="str">
        <f>IF(VLOOKUP($B78,'Satınalma Takvimi Veri Girişi'!$B$4:$AC$146,28,FALSE)&lt;&gt;"",VLOOKUP($B78,'Satınalma Takvimi Veri Girişi'!$B$4:$AC$146,28,FALSE),"")</f>
        <v/>
      </c>
    </row>
    <row r="79" spans="2:43" ht="19.95" customHeight="1" x14ac:dyDescent="0.3">
      <c r="B79" s="64" t="str">
        <f>Şablon!E78</f>
        <v>IHL.3028.073/1</v>
      </c>
      <c r="C79" s="139" t="str">
        <f>VLOOKUP($B79,Şablon!$E$3:$Q$255,2,FALSE)</f>
        <v>15.14.05 (M) ARMATÜR MALZEME TEMİNİ</v>
      </c>
      <c r="D79" s="161" t="str">
        <f>IF(VLOOKUP($B79,'Satınalma Takvimi Veri Girişi'!$B$4:$AC$146,3,FALSE)&lt;&gt;"",VLOOKUP($B79,'Satınalma Takvimi Veri Girişi'!$B$4:$AC$146,3,FALSE),"")</f>
        <v/>
      </c>
      <c r="E79" s="139" t="str">
        <f>VLOOKUP($B79,Şablon!$E$3:$Q$255,3,FALSE)</f>
        <v>B KATEGORİ</v>
      </c>
      <c r="F79" s="140" t="str">
        <f>VLOOKUP($B79,Şablon!$E$3:$Q$255,4,FALSE)</f>
        <v>İNŞ</v>
      </c>
      <c r="G79" s="141">
        <f>VLOOKUP($B79,Şablon!$E$3:$Q$255,5,FALSE)</f>
        <v>0</v>
      </c>
      <c r="H79" s="142" t="str">
        <f t="shared" si="14"/>
        <v/>
      </c>
      <c r="I79" s="143" t="str">
        <f t="shared" si="15"/>
        <v/>
      </c>
      <c r="J79" s="144" t="str">
        <f>IF(VLOOKUP($B79,'Satınalma Takvimi Veri Girişi'!$B$4:$AC$146,7,FALSE)&lt;&gt;"",VLOOKUP($B79,'Satınalma Takvimi Veri Girişi'!$B$4:$AC$146,7,FALSE),"")</f>
        <v/>
      </c>
      <c r="K79" s="141">
        <f>VLOOKUP($B79,Şablon!$E$3:$Q$255,6,FALSE)</f>
        <v>14</v>
      </c>
      <c r="L79" s="142" t="str">
        <f t="shared" si="16"/>
        <v/>
      </c>
      <c r="M79" s="143" t="str">
        <f t="shared" si="17"/>
        <v/>
      </c>
      <c r="N79" s="144" t="str">
        <f>IF(VLOOKUP($B79,'Satınalma Takvimi Veri Girişi'!$B$4:$AC$146,9,FALSE)&lt;&gt;"",VLOOKUP($B79,'Satınalma Takvimi Veri Girişi'!$B$4:$AC$146,9,FALSE),"")</f>
        <v/>
      </c>
      <c r="O79" s="141">
        <f>VLOOKUP($B79,Şablon!$E$3:$Q$255,7,FALSE)</f>
        <v>7</v>
      </c>
      <c r="P79" s="142" t="str">
        <f t="shared" si="18"/>
        <v/>
      </c>
      <c r="Q79" s="143" t="str">
        <f t="shared" si="19"/>
        <v/>
      </c>
      <c r="R79" s="144" t="str">
        <f>IF(VLOOKUP($B79,'Satınalma Takvimi Veri Girişi'!$B$4:$AC$146,11,FALSE)&lt;&gt;"",VLOOKUP($B79,'Satınalma Takvimi Veri Girişi'!$B$4:$AC$146,11,FALSE),"")</f>
        <v/>
      </c>
      <c r="S79" s="141">
        <f>VLOOKUP($B79,Şablon!$E$3:$Q$255,8,FALSE)</f>
        <v>21</v>
      </c>
      <c r="T79" s="142" t="str">
        <f t="shared" si="20"/>
        <v/>
      </c>
      <c r="U79" s="143" t="str">
        <f t="shared" si="21"/>
        <v/>
      </c>
      <c r="V79" s="144" t="str">
        <f>IF(VLOOKUP($B79,'Satınalma Takvimi Veri Girişi'!$B$4:$AC$146,13,FALSE)&lt;&gt;"",VLOOKUP($B79,'Satınalma Takvimi Veri Girişi'!$B$4:$AC$146,13,FALSE),"")</f>
        <v/>
      </c>
      <c r="W79" s="141">
        <f>VLOOKUP($B79,Şablon!$E$3:$Q$255,9,FALSE)</f>
        <v>7</v>
      </c>
      <c r="X79" s="142" t="str">
        <f t="shared" si="22"/>
        <v/>
      </c>
      <c r="Y79" s="143" t="str">
        <f t="shared" si="23"/>
        <v/>
      </c>
      <c r="Z79" s="144" t="str">
        <f>IF(VLOOKUP($B79,'Satınalma Takvimi Veri Girişi'!$B$4:$AC$146,15,FALSE)&lt;&gt;"",VLOOKUP($B79,'Satınalma Takvimi Veri Girişi'!$B$4:$AC$146,15,FALSE),"")</f>
        <v/>
      </c>
      <c r="AA79" s="141">
        <f>VLOOKUP($B79,Şablon!$E$3:$Q$255,10,FALSE)</f>
        <v>7</v>
      </c>
      <c r="AB79" s="142" t="str">
        <f t="shared" si="24"/>
        <v/>
      </c>
      <c r="AC79" s="143" t="str">
        <f t="shared" si="25"/>
        <v/>
      </c>
      <c r="AD79" s="144" t="str">
        <f>IF(VLOOKUP($B79,'Satınalma Takvimi Veri Girişi'!$B$4:$AC$146,17,FALSE)&lt;&gt;"",VLOOKUP($B79,'Satınalma Takvimi Veri Girişi'!$B$4:$AC$146,17,FALSE),"")</f>
        <v/>
      </c>
      <c r="AE79" s="141">
        <f>(VLOOKUP($B79,Şablon!$E$3:$Q$255,11,FALSE)+VLOOKUP($B79,Şablon!$E$3:$Q$255,12,FALSE))</f>
        <v>67</v>
      </c>
      <c r="AF79" s="142" t="str">
        <f t="shared" si="26"/>
        <v/>
      </c>
      <c r="AG79" s="143" t="str">
        <f t="shared" si="27"/>
        <v/>
      </c>
      <c r="AH79" s="144" t="str">
        <f>IF(VLOOKUP($B79,'Satınalma Takvimi Veri Girişi'!$B$4:$AC$146,19,FALSE)&lt;&gt;"",VLOOKUP($B79,'Satınalma Takvimi Veri Girişi'!$B$4:$AC$146,19,FALSE),"")</f>
        <v/>
      </c>
      <c r="AI79" s="145" t="str">
        <f>IF(VLOOKUP($B79,'Satınalma Takvimi Veri Girişi'!$B$4:$AC$146,20,FALSE)&lt;&gt;"",VLOOKUP($B79,'Satınalma Takvimi Veri Girişi'!$B$4:$AC$146,20,FALSE),"")</f>
        <v/>
      </c>
      <c r="AJ79" s="144" t="str">
        <f>IF(VLOOKUP($B79,'Satınalma Takvimi Veri Girişi'!$B$4:$AC$146,21,FALSE)&lt;&gt;"",VLOOKUP($B79,'Satınalma Takvimi Veri Girişi'!$B$4:$AC$146,21,FALSE),"")</f>
        <v/>
      </c>
      <c r="AK79" s="146" t="str">
        <f>IF(VLOOKUP($B79,'Satınalma Takvimi Veri Girişi'!$B$4:$AC$146,22,FALSE)&lt;&gt;"",VLOOKUP($B79,'Satınalma Takvimi Veri Girişi'!$B$4:$AC$146,22,FALSE),"")</f>
        <v/>
      </c>
      <c r="AL79" s="147" t="str">
        <f>IF(VLOOKUP($B79,'Satınalma Takvimi Veri Girişi'!$B$4:$AC$146,23,FALSE)&lt;&gt;"",VLOOKUP($B79,'Satınalma Takvimi Veri Girişi'!$B$4:$AC$146,23,FALSE),"")</f>
        <v/>
      </c>
      <c r="AM79" s="147" t="str">
        <f>IF(VLOOKUP($B79,'Satınalma Takvimi Veri Girişi'!$B$4:$AC$146,24,FALSE)&lt;&gt;"",VLOOKUP($B79,'Satınalma Takvimi Veri Girişi'!$B$4:$AC$146,24,FALSE),"")</f>
        <v/>
      </c>
      <c r="AN79" s="147" t="str">
        <f>IF(VLOOKUP($B79,'Satınalma Takvimi Veri Girişi'!$B$4:$AC$146,25,FALSE)&lt;&gt;"",VLOOKUP($B79,'Satınalma Takvimi Veri Girişi'!$B$4:$AC$146,25,FALSE),"")</f>
        <v/>
      </c>
      <c r="AO79" s="147" t="str">
        <f>IF(VLOOKUP($B79,'Satınalma Takvimi Veri Girişi'!$B$4:$AC$146,26,FALSE)&lt;&gt;"",VLOOKUP($B79,'Satınalma Takvimi Veri Girişi'!$B$4:$AC$146,26,FALSE),"")</f>
        <v/>
      </c>
      <c r="AP79" s="147" t="str">
        <f>IF(VLOOKUP($B79,'Satınalma Takvimi Veri Girişi'!$B$4:$AC$146,27,FALSE)&lt;&gt;"",VLOOKUP($B79,'Satınalma Takvimi Veri Girişi'!$B$4:$AC$146,27,FALSE),"")</f>
        <v/>
      </c>
      <c r="AQ79" s="148" t="str">
        <f>IF(VLOOKUP($B79,'Satınalma Takvimi Veri Girişi'!$B$4:$AC$146,28,FALSE)&lt;&gt;"",VLOOKUP($B79,'Satınalma Takvimi Veri Girişi'!$B$4:$AC$146,28,FALSE),"")</f>
        <v/>
      </c>
    </row>
    <row r="80" spans="2:43" ht="19.95" customHeight="1" x14ac:dyDescent="0.3">
      <c r="B80" s="64" t="str">
        <f>Şablon!E79</f>
        <v>IHL.3028.074/1</v>
      </c>
      <c r="C80" s="139" t="str">
        <f>VLOOKUP($B80,Şablon!$E$3:$Q$255,2,FALSE)</f>
        <v>15.14.08 (M) EVİYE MALZEME TEMİNİ</v>
      </c>
      <c r="D80" s="161" t="str">
        <f>IF(VLOOKUP($B80,'Satınalma Takvimi Veri Girişi'!$B$4:$AC$146,3,FALSE)&lt;&gt;"",VLOOKUP($B80,'Satınalma Takvimi Veri Girişi'!$B$4:$AC$146,3,FALSE),"")</f>
        <v/>
      </c>
      <c r="E80" s="139" t="str">
        <f>VLOOKUP($B80,Şablon!$E$3:$Q$255,3,FALSE)</f>
        <v>B KATEGORİ</v>
      </c>
      <c r="F80" s="140" t="str">
        <f>VLOOKUP($B80,Şablon!$E$3:$Q$255,4,FALSE)</f>
        <v>İNŞ</v>
      </c>
      <c r="G80" s="141">
        <f>VLOOKUP($B80,Şablon!$E$3:$Q$255,5,FALSE)</f>
        <v>0</v>
      </c>
      <c r="H80" s="142" t="str">
        <f t="shared" si="14"/>
        <v/>
      </c>
      <c r="I80" s="143" t="str">
        <f t="shared" si="15"/>
        <v/>
      </c>
      <c r="J80" s="144" t="str">
        <f>IF(VLOOKUP($B80,'Satınalma Takvimi Veri Girişi'!$B$4:$AC$146,7,FALSE)&lt;&gt;"",VLOOKUP($B80,'Satınalma Takvimi Veri Girişi'!$B$4:$AC$146,7,FALSE),"")</f>
        <v/>
      </c>
      <c r="K80" s="141">
        <f>VLOOKUP($B80,Şablon!$E$3:$Q$255,6,FALSE)</f>
        <v>14</v>
      </c>
      <c r="L80" s="142" t="str">
        <f t="shared" si="16"/>
        <v/>
      </c>
      <c r="M80" s="143" t="str">
        <f t="shared" si="17"/>
        <v/>
      </c>
      <c r="N80" s="144" t="str">
        <f>IF(VLOOKUP($B80,'Satınalma Takvimi Veri Girişi'!$B$4:$AC$146,9,FALSE)&lt;&gt;"",VLOOKUP($B80,'Satınalma Takvimi Veri Girişi'!$B$4:$AC$146,9,FALSE),"")</f>
        <v/>
      </c>
      <c r="O80" s="141">
        <f>VLOOKUP($B80,Şablon!$E$3:$Q$255,7,FALSE)</f>
        <v>7</v>
      </c>
      <c r="P80" s="142" t="str">
        <f t="shared" si="18"/>
        <v/>
      </c>
      <c r="Q80" s="143" t="str">
        <f t="shared" si="19"/>
        <v/>
      </c>
      <c r="R80" s="144" t="str">
        <f>IF(VLOOKUP($B80,'Satınalma Takvimi Veri Girişi'!$B$4:$AC$146,11,FALSE)&lt;&gt;"",VLOOKUP($B80,'Satınalma Takvimi Veri Girişi'!$B$4:$AC$146,11,FALSE),"")</f>
        <v/>
      </c>
      <c r="S80" s="141">
        <f>VLOOKUP($B80,Şablon!$E$3:$Q$255,8,FALSE)</f>
        <v>21</v>
      </c>
      <c r="T80" s="142" t="str">
        <f t="shared" si="20"/>
        <v/>
      </c>
      <c r="U80" s="143" t="str">
        <f t="shared" si="21"/>
        <v/>
      </c>
      <c r="V80" s="144" t="str">
        <f>IF(VLOOKUP($B80,'Satınalma Takvimi Veri Girişi'!$B$4:$AC$146,13,FALSE)&lt;&gt;"",VLOOKUP($B80,'Satınalma Takvimi Veri Girişi'!$B$4:$AC$146,13,FALSE),"")</f>
        <v/>
      </c>
      <c r="W80" s="141">
        <f>VLOOKUP($B80,Şablon!$E$3:$Q$255,9,FALSE)</f>
        <v>7</v>
      </c>
      <c r="X80" s="142" t="str">
        <f t="shared" si="22"/>
        <v/>
      </c>
      <c r="Y80" s="143" t="str">
        <f t="shared" si="23"/>
        <v/>
      </c>
      <c r="Z80" s="144" t="str">
        <f>IF(VLOOKUP($B80,'Satınalma Takvimi Veri Girişi'!$B$4:$AC$146,15,FALSE)&lt;&gt;"",VLOOKUP($B80,'Satınalma Takvimi Veri Girişi'!$B$4:$AC$146,15,FALSE),"")</f>
        <v/>
      </c>
      <c r="AA80" s="141">
        <f>VLOOKUP($B80,Şablon!$E$3:$Q$255,10,FALSE)</f>
        <v>7</v>
      </c>
      <c r="AB80" s="142" t="str">
        <f t="shared" si="24"/>
        <v/>
      </c>
      <c r="AC80" s="143" t="str">
        <f t="shared" si="25"/>
        <v/>
      </c>
      <c r="AD80" s="144" t="str">
        <f>IF(VLOOKUP($B80,'Satınalma Takvimi Veri Girişi'!$B$4:$AC$146,17,FALSE)&lt;&gt;"",VLOOKUP($B80,'Satınalma Takvimi Veri Girişi'!$B$4:$AC$146,17,FALSE),"")</f>
        <v/>
      </c>
      <c r="AE80" s="141">
        <f>(VLOOKUP($B80,Şablon!$E$3:$Q$255,11,FALSE)+VLOOKUP($B80,Şablon!$E$3:$Q$255,12,FALSE))</f>
        <v>52</v>
      </c>
      <c r="AF80" s="142" t="str">
        <f t="shared" si="26"/>
        <v/>
      </c>
      <c r="AG80" s="143" t="str">
        <f t="shared" si="27"/>
        <v/>
      </c>
      <c r="AH80" s="144" t="str">
        <f>IF(VLOOKUP($B80,'Satınalma Takvimi Veri Girişi'!$B$4:$AC$146,19,FALSE)&lt;&gt;"",VLOOKUP($B80,'Satınalma Takvimi Veri Girişi'!$B$4:$AC$146,19,FALSE),"")</f>
        <v/>
      </c>
      <c r="AI80" s="145" t="str">
        <f>IF(VLOOKUP($B80,'Satınalma Takvimi Veri Girişi'!$B$4:$AC$146,20,FALSE)&lt;&gt;"",VLOOKUP($B80,'Satınalma Takvimi Veri Girişi'!$B$4:$AC$146,20,FALSE),"")</f>
        <v/>
      </c>
      <c r="AJ80" s="144" t="str">
        <f>IF(VLOOKUP($B80,'Satınalma Takvimi Veri Girişi'!$B$4:$AC$146,21,FALSE)&lt;&gt;"",VLOOKUP($B80,'Satınalma Takvimi Veri Girişi'!$B$4:$AC$146,21,FALSE),"")</f>
        <v/>
      </c>
      <c r="AK80" s="146" t="str">
        <f>IF(VLOOKUP($B80,'Satınalma Takvimi Veri Girişi'!$B$4:$AC$146,22,FALSE)&lt;&gt;"",VLOOKUP($B80,'Satınalma Takvimi Veri Girişi'!$B$4:$AC$146,22,FALSE),"")</f>
        <v/>
      </c>
      <c r="AL80" s="147" t="str">
        <f>IF(VLOOKUP($B80,'Satınalma Takvimi Veri Girişi'!$B$4:$AC$146,23,FALSE)&lt;&gt;"",VLOOKUP($B80,'Satınalma Takvimi Veri Girişi'!$B$4:$AC$146,23,FALSE),"")</f>
        <v/>
      </c>
      <c r="AM80" s="147" t="str">
        <f>IF(VLOOKUP($B80,'Satınalma Takvimi Veri Girişi'!$B$4:$AC$146,24,FALSE)&lt;&gt;"",VLOOKUP($B80,'Satınalma Takvimi Veri Girişi'!$B$4:$AC$146,24,FALSE),"")</f>
        <v/>
      </c>
      <c r="AN80" s="147" t="str">
        <f>IF(VLOOKUP($B80,'Satınalma Takvimi Veri Girişi'!$B$4:$AC$146,25,FALSE)&lt;&gt;"",VLOOKUP($B80,'Satınalma Takvimi Veri Girişi'!$B$4:$AC$146,25,FALSE),"")</f>
        <v/>
      </c>
      <c r="AO80" s="147" t="str">
        <f>IF(VLOOKUP($B80,'Satınalma Takvimi Veri Girişi'!$B$4:$AC$146,26,FALSE)&lt;&gt;"",VLOOKUP($B80,'Satınalma Takvimi Veri Girişi'!$B$4:$AC$146,26,FALSE),"")</f>
        <v/>
      </c>
      <c r="AP80" s="147" t="str">
        <f>IF(VLOOKUP($B80,'Satınalma Takvimi Veri Girişi'!$B$4:$AC$146,27,FALSE)&lt;&gt;"",VLOOKUP($B80,'Satınalma Takvimi Veri Girişi'!$B$4:$AC$146,27,FALSE),"")</f>
        <v/>
      </c>
      <c r="AQ80" s="148" t="str">
        <f>IF(VLOOKUP($B80,'Satınalma Takvimi Veri Girişi'!$B$4:$AC$146,28,FALSE)&lt;&gt;"",VLOOKUP($B80,'Satınalma Takvimi Veri Girişi'!$B$4:$AC$146,28,FALSE),"")</f>
        <v/>
      </c>
    </row>
    <row r="81" spans="2:43" ht="19.95" customHeight="1" x14ac:dyDescent="0.3">
      <c r="B81" s="64" t="str">
        <f>Şablon!E80</f>
        <v>IHL.3028.075/1</v>
      </c>
      <c r="C81" s="139" t="str">
        <f>VLOOKUP($B81,Şablon!$E$3:$Q$255,2,FALSE)</f>
        <v>15.14.06 (M) AKSESUAR MALZEME TEMİNİ</v>
      </c>
      <c r="D81" s="161" t="str">
        <f>IF(VLOOKUP($B81,'Satınalma Takvimi Veri Girişi'!$B$4:$AC$146,3,FALSE)&lt;&gt;"",VLOOKUP($B81,'Satınalma Takvimi Veri Girişi'!$B$4:$AC$146,3,FALSE),"")</f>
        <v/>
      </c>
      <c r="E81" s="139" t="str">
        <f>VLOOKUP($B81,Şablon!$E$3:$Q$255,3,FALSE)</f>
        <v>B KATEGORİ</v>
      </c>
      <c r="F81" s="140" t="str">
        <f>VLOOKUP($B81,Şablon!$E$3:$Q$255,4,FALSE)</f>
        <v>İNŞ</v>
      </c>
      <c r="G81" s="141">
        <f>VLOOKUP($B81,Şablon!$E$3:$Q$255,5,FALSE)</f>
        <v>0</v>
      </c>
      <c r="H81" s="142" t="str">
        <f t="shared" si="14"/>
        <v/>
      </c>
      <c r="I81" s="143" t="str">
        <f t="shared" si="15"/>
        <v/>
      </c>
      <c r="J81" s="144" t="str">
        <f>IF(VLOOKUP($B81,'Satınalma Takvimi Veri Girişi'!$B$4:$AC$146,7,FALSE)&lt;&gt;"",VLOOKUP($B81,'Satınalma Takvimi Veri Girişi'!$B$4:$AC$146,7,FALSE),"")</f>
        <v/>
      </c>
      <c r="K81" s="141">
        <f>VLOOKUP($B81,Şablon!$E$3:$Q$255,6,FALSE)</f>
        <v>14</v>
      </c>
      <c r="L81" s="142" t="str">
        <f t="shared" si="16"/>
        <v/>
      </c>
      <c r="M81" s="143" t="str">
        <f t="shared" si="17"/>
        <v/>
      </c>
      <c r="N81" s="144" t="str">
        <f>IF(VLOOKUP($B81,'Satınalma Takvimi Veri Girişi'!$B$4:$AC$146,9,FALSE)&lt;&gt;"",VLOOKUP($B81,'Satınalma Takvimi Veri Girişi'!$B$4:$AC$146,9,FALSE),"")</f>
        <v/>
      </c>
      <c r="O81" s="141">
        <f>VLOOKUP($B81,Şablon!$E$3:$Q$255,7,FALSE)</f>
        <v>7</v>
      </c>
      <c r="P81" s="142" t="str">
        <f t="shared" si="18"/>
        <v/>
      </c>
      <c r="Q81" s="143" t="str">
        <f t="shared" si="19"/>
        <v/>
      </c>
      <c r="R81" s="144" t="str">
        <f>IF(VLOOKUP($B81,'Satınalma Takvimi Veri Girişi'!$B$4:$AC$146,11,FALSE)&lt;&gt;"",VLOOKUP($B81,'Satınalma Takvimi Veri Girişi'!$B$4:$AC$146,11,FALSE),"")</f>
        <v/>
      </c>
      <c r="S81" s="141">
        <f>VLOOKUP($B81,Şablon!$E$3:$Q$255,8,FALSE)</f>
        <v>21</v>
      </c>
      <c r="T81" s="142" t="str">
        <f t="shared" si="20"/>
        <v/>
      </c>
      <c r="U81" s="143" t="str">
        <f t="shared" si="21"/>
        <v/>
      </c>
      <c r="V81" s="144" t="str">
        <f>IF(VLOOKUP($B81,'Satınalma Takvimi Veri Girişi'!$B$4:$AC$146,13,FALSE)&lt;&gt;"",VLOOKUP($B81,'Satınalma Takvimi Veri Girişi'!$B$4:$AC$146,13,FALSE),"")</f>
        <v/>
      </c>
      <c r="W81" s="141">
        <f>VLOOKUP($B81,Şablon!$E$3:$Q$255,9,FALSE)</f>
        <v>7</v>
      </c>
      <c r="X81" s="142" t="str">
        <f t="shared" si="22"/>
        <v/>
      </c>
      <c r="Y81" s="143" t="str">
        <f t="shared" si="23"/>
        <v/>
      </c>
      <c r="Z81" s="144" t="str">
        <f>IF(VLOOKUP($B81,'Satınalma Takvimi Veri Girişi'!$B$4:$AC$146,15,FALSE)&lt;&gt;"",VLOOKUP($B81,'Satınalma Takvimi Veri Girişi'!$B$4:$AC$146,15,FALSE),"")</f>
        <v/>
      </c>
      <c r="AA81" s="141">
        <f>VLOOKUP($B81,Şablon!$E$3:$Q$255,10,FALSE)</f>
        <v>7</v>
      </c>
      <c r="AB81" s="142" t="str">
        <f t="shared" si="24"/>
        <v/>
      </c>
      <c r="AC81" s="143" t="str">
        <f t="shared" si="25"/>
        <v/>
      </c>
      <c r="AD81" s="144" t="str">
        <f>IF(VLOOKUP($B81,'Satınalma Takvimi Veri Girişi'!$B$4:$AC$146,17,FALSE)&lt;&gt;"",VLOOKUP($B81,'Satınalma Takvimi Veri Girişi'!$B$4:$AC$146,17,FALSE),"")</f>
        <v/>
      </c>
      <c r="AE81" s="141">
        <f>(VLOOKUP($B81,Şablon!$E$3:$Q$255,11,FALSE)+VLOOKUP($B81,Şablon!$E$3:$Q$255,12,FALSE))</f>
        <v>35</v>
      </c>
      <c r="AF81" s="142" t="str">
        <f t="shared" si="26"/>
        <v/>
      </c>
      <c r="AG81" s="143" t="str">
        <f t="shared" si="27"/>
        <v/>
      </c>
      <c r="AH81" s="144" t="str">
        <f>IF(VLOOKUP($B81,'Satınalma Takvimi Veri Girişi'!$B$4:$AC$146,19,FALSE)&lt;&gt;"",VLOOKUP($B81,'Satınalma Takvimi Veri Girişi'!$B$4:$AC$146,19,FALSE),"")</f>
        <v/>
      </c>
      <c r="AI81" s="145" t="str">
        <f>IF(VLOOKUP($B81,'Satınalma Takvimi Veri Girişi'!$B$4:$AC$146,20,FALSE)&lt;&gt;"",VLOOKUP($B81,'Satınalma Takvimi Veri Girişi'!$B$4:$AC$146,20,FALSE),"")</f>
        <v/>
      </c>
      <c r="AJ81" s="144" t="str">
        <f>IF(VLOOKUP($B81,'Satınalma Takvimi Veri Girişi'!$B$4:$AC$146,21,FALSE)&lt;&gt;"",VLOOKUP($B81,'Satınalma Takvimi Veri Girişi'!$B$4:$AC$146,21,FALSE),"")</f>
        <v/>
      </c>
      <c r="AK81" s="146" t="str">
        <f>IF(VLOOKUP($B81,'Satınalma Takvimi Veri Girişi'!$B$4:$AC$146,22,FALSE)&lt;&gt;"",VLOOKUP($B81,'Satınalma Takvimi Veri Girişi'!$B$4:$AC$146,22,FALSE),"")</f>
        <v/>
      </c>
      <c r="AL81" s="150" t="str">
        <f>IF(VLOOKUP($B81,'Satınalma Takvimi Veri Girişi'!$B$4:$AC$146,23,FALSE)&lt;&gt;"",VLOOKUP($B81,'Satınalma Takvimi Veri Girişi'!$B$4:$AC$146,23,FALSE),"")</f>
        <v/>
      </c>
      <c r="AM81" s="147" t="str">
        <f>IF(VLOOKUP($B81,'Satınalma Takvimi Veri Girişi'!$B$4:$AC$146,24,FALSE)&lt;&gt;"",VLOOKUP($B81,'Satınalma Takvimi Veri Girişi'!$B$4:$AC$146,24,FALSE),"")</f>
        <v/>
      </c>
      <c r="AN81" s="147" t="str">
        <f>IF(VLOOKUP($B81,'Satınalma Takvimi Veri Girişi'!$B$4:$AC$146,25,FALSE)&lt;&gt;"",VLOOKUP($B81,'Satınalma Takvimi Veri Girişi'!$B$4:$AC$146,25,FALSE),"")</f>
        <v/>
      </c>
      <c r="AO81" s="147" t="str">
        <f>IF(VLOOKUP($B81,'Satınalma Takvimi Veri Girişi'!$B$4:$AC$146,26,FALSE)&lt;&gt;"",VLOOKUP($B81,'Satınalma Takvimi Veri Girişi'!$B$4:$AC$146,26,FALSE),"")</f>
        <v/>
      </c>
      <c r="AP81" s="147" t="str">
        <f>IF(VLOOKUP($B81,'Satınalma Takvimi Veri Girişi'!$B$4:$AC$146,27,FALSE)&lt;&gt;"",VLOOKUP($B81,'Satınalma Takvimi Veri Girişi'!$B$4:$AC$146,27,FALSE),"")</f>
        <v/>
      </c>
      <c r="AQ81" s="148" t="str">
        <f>IF(VLOOKUP($B81,'Satınalma Takvimi Veri Girişi'!$B$4:$AC$146,28,FALSE)&lt;&gt;"",VLOOKUP($B81,'Satınalma Takvimi Veri Girişi'!$B$4:$AC$146,28,FALSE),"")</f>
        <v/>
      </c>
    </row>
    <row r="82" spans="2:43" ht="19.95" customHeight="1" x14ac:dyDescent="0.3">
      <c r="B82" s="64" t="str">
        <f>Şablon!E81</f>
        <v>IHL.3028.076/1</v>
      </c>
      <c r="C82" s="139" t="str">
        <f>VLOOKUP($B82,Şablon!$E$3:$Q$255,2,FALSE)</f>
        <v>15.14.00 DUŞKABİN İŞLERİ</v>
      </c>
      <c r="D82" s="161" t="str">
        <f>IF(VLOOKUP($B82,'Satınalma Takvimi Veri Girişi'!$B$4:$AC$146,3,FALSE)&lt;&gt;"",VLOOKUP($B82,'Satınalma Takvimi Veri Girişi'!$B$4:$AC$146,3,FALSE),"")</f>
        <v/>
      </c>
      <c r="E82" s="139" t="str">
        <f>VLOOKUP($B82,Şablon!$E$3:$Q$255,3,FALSE)</f>
        <v>B KATEGORİ</v>
      </c>
      <c r="F82" s="140" t="str">
        <f>VLOOKUP($B82,Şablon!$E$3:$Q$255,4,FALSE)</f>
        <v>İNŞ</v>
      </c>
      <c r="G82" s="141">
        <f>VLOOKUP($B82,Şablon!$E$3:$Q$255,5,FALSE)</f>
        <v>0</v>
      </c>
      <c r="H82" s="142" t="str">
        <f t="shared" si="14"/>
        <v/>
      </c>
      <c r="I82" s="143" t="str">
        <f t="shared" si="15"/>
        <v/>
      </c>
      <c r="J82" s="144" t="str">
        <f>IF(VLOOKUP($B82,'Satınalma Takvimi Veri Girişi'!$B$4:$AC$146,7,FALSE)&lt;&gt;"",VLOOKUP($B82,'Satınalma Takvimi Veri Girişi'!$B$4:$AC$146,7,FALSE),"")</f>
        <v/>
      </c>
      <c r="K82" s="141">
        <f>VLOOKUP($B82,Şablon!$E$3:$Q$255,6,FALSE)</f>
        <v>14</v>
      </c>
      <c r="L82" s="142" t="str">
        <f t="shared" si="16"/>
        <v/>
      </c>
      <c r="M82" s="143" t="str">
        <f t="shared" si="17"/>
        <v/>
      </c>
      <c r="N82" s="144" t="str">
        <f>IF(VLOOKUP($B82,'Satınalma Takvimi Veri Girişi'!$B$4:$AC$146,9,FALSE)&lt;&gt;"",VLOOKUP($B82,'Satınalma Takvimi Veri Girişi'!$B$4:$AC$146,9,FALSE),"")</f>
        <v/>
      </c>
      <c r="O82" s="141">
        <f>VLOOKUP($B82,Şablon!$E$3:$Q$255,7,FALSE)</f>
        <v>7</v>
      </c>
      <c r="P82" s="142" t="str">
        <f t="shared" si="18"/>
        <v/>
      </c>
      <c r="Q82" s="143" t="str">
        <f t="shared" si="19"/>
        <v/>
      </c>
      <c r="R82" s="144" t="str">
        <f>IF(VLOOKUP($B82,'Satınalma Takvimi Veri Girişi'!$B$4:$AC$146,11,FALSE)&lt;&gt;"",VLOOKUP($B82,'Satınalma Takvimi Veri Girişi'!$B$4:$AC$146,11,FALSE),"")</f>
        <v/>
      </c>
      <c r="S82" s="141">
        <f>VLOOKUP($B82,Şablon!$E$3:$Q$255,8,FALSE)</f>
        <v>21</v>
      </c>
      <c r="T82" s="142" t="str">
        <f t="shared" si="20"/>
        <v/>
      </c>
      <c r="U82" s="143" t="str">
        <f t="shared" si="21"/>
        <v/>
      </c>
      <c r="V82" s="144" t="str">
        <f>IF(VLOOKUP($B82,'Satınalma Takvimi Veri Girişi'!$B$4:$AC$146,13,FALSE)&lt;&gt;"",VLOOKUP($B82,'Satınalma Takvimi Veri Girişi'!$B$4:$AC$146,13,FALSE),"")</f>
        <v/>
      </c>
      <c r="W82" s="141">
        <f>VLOOKUP($B82,Şablon!$E$3:$Q$255,9,FALSE)</f>
        <v>7</v>
      </c>
      <c r="X82" s="142" t="str">
        <f t="shared" si="22"/>
        <v/>
      </c>
      <c r="Y82" s="143" t="str">
        <f t="shared" si="23"/>
        <v/>
      </c>
      <c r="Z82" s="144" t="str">
        <f>IF(VLOOKUP($B82,'Satınalma Takvimi Veri Girişi'!$B$4:$AC$146,15,FALSE)&lt;&gt;"",VLOOKUP($B82,'Satınalma Takvimi Veri Girişi'!$B$4:$AC$146,15,FALSE),"")</f>
        <v/>
      </c>
      <c r="AA82" s="141">
        <f>VLOOKUP($B82,Şablon!$E$3:$Q$255,10,FALSE)</f>
        <v>14</v>
      </c>
      <c r="AB82" s="142" t="str">
        <f t="shared" si="24"/>
        <v/>
      </c>
      <c r="AC82" s="143" t="str">
        <f t="shared" si="25"/>
        <v/>
      </c>
      <c r="AD82" s="144" t="str">
        <f>IF(VLOOKUP($B82,'Satınalma Takvimi Veri Girişi'!$B$4:$AC$146,17,FALSE)&lt;&gt;"",VLOOKUP($B82,'Satınalma Takvimi Veri Girişi'!$B$4:$AC$146,17,FALSE),"")</f>
        <v/>
      </c>
      <c r="AE82" s="141">
        <f>(VLOOKUP($B82,Şablon!$E$3:$Q$255,11,FALSE)+VLOOKUP($B82,Şablon!$E$3:$Q$255,12,FALSE))</f>
        <v>52</v>
      </c>
      <c r="AF82" s="142" t="str">
        <f t="shared" si="26"/>
        <v/>
      </c>
      <c r="AG82" s="143" t="str">
        <f t="shared" si="27"/>
        <v/>
      </c>
      <c r="AH82" s="144" t="str">
        <f>IF(VLOOKUP($B82,'Satınalma Takvimi Veri Girişi'!$B$4:$AC$146,19,FALSE)&lt;&gt;"",VLOOKUP($B82,'Satınalma Takvimi Veri Girişi'!$B$4:$AC$146,19,FALSE),"")</f>
        <v/>
      </c>
      <c r="AI82" s="145" t="str">
        <f>IF(VLOOKUP($B82,'Satınalma Takvimi Veri Girişi'!$B$4:$AC$146,20,FALSE)&lt;&gt;"",VLOOKUP($B82,'Satınalma Takvimi Veri Girişi'!$B$4:$AC$146,20,FALSE),"")</f>
        <v/>
      </c>
      <c r="AJ82" s="144" t="str">
        <f>IF(VLOOKUP($B82,'Satınalma Takvimi Veri Girişi'!$B$4:$AC$146,21,FALSE)&lt;&gt;"",VLOOKUP($B82,'Satınalma Takvimi Veri Girişi'!$B$4:$AC$146,21,FALSE),"")</f>
        <v/>
      </c>
      <c r="AK82" s="146" t="str">
        <f>IF(VLOOKUP($B82,'Satınalma Takvimi Veri Girişi'!$B$4:$AC$146,22,FALSE)&lt;&gt;"",VLOOKUP($B82,'Satınalma Takvimi Veri Girişi'!$B$4:$AC$146,22,FALSE),"")</f>
        <v/>
      </c>
      <c r="AL82" s="147" t="str">
        <f>IF(VLOOKUP($B82,'Satınalma Takvimi Veri Girişi'!$B$4:$AC$146,23,FALSE)&lt;&gt;"",VLOOKUP($B82,'Satınalma Takvimi Veri Girişi'!$B$4:$AC$146,23,FALSE),"")</f>
        <v/>
      </c>
      <c r="AM82" s="147" t="str">
        <f>IF(VLOOKUP($B82,'Satınalma Takvimi Veri Girişi'!$B$4:$AC$146,24,FALSE)&lt;&gt;"",VLOOKUP($B82,'Satınalma Takvimi Veri Girişi'!$B$4:$AC$146,24,FALSE),"")</f>
        <v/>
      </c>
      <c r="AN82" s="147" t="str">
        <f>IF(VLOOKUP($B82,'Satınalma Takvimi Veri Girişi'!$B$4:$AC$146,25,FALSE)&lt;&gt;"",VLOOKUP($B82,'Satınalma Takvimi Veri Girişi'!$B$4:$AC$146,25,FALSE),"")</f>
        <v/>
      </c>
      <c r="AO82" s="147" t="str">
        <f>IF(VLOOKUP($B82,'Satınalma Takvimi Veri Girişi'!$B$4:$AC$146,26,FALSE)&lt;&gt;"",VLOOKUP($B82,'Satınalma Takvimi Veri Girişi'!$B$4:$AC$146,26,FALSE),"")</f>
        <v/>
      </c>
      <c r="AP82" s="147" t="str">
        <f>IF(VLOOKUP($B82,'Satınalma Takvimi Veri Girişi'!$B$4:$AC$146,27,FALSE)&lt;&gt;"",VLOOKUP($B82,'Satınalma Takvimi Veri Girişi'!$B$4:$AC$146,27,FALSE),"")</f>
        <v/>
      </c>
      <c r="AQ82" s="148" t="str">
        <f>IF(VLOOKUP($B82,'Satınalma Takvimi Veri Girişi'!$B$4:$AC$146,28,FALSE)&lt;&gt;"",VLOOKUP($B82,'Satınalma Takvimi Veri Girişi'!$B$4:$AC$146,28,FALSE),"")</f>
        <v/>
      </c>
    </row>
    <row r="83" spans="2:43" ht="19.95" customHeight="1" x14ac:dyDescent="0.3">
      <c r="B83" s="64" t="str">
        <f>Şablon!E82</f>
        <v>IHL.3028.077/1</v>
      </c>
      <c r="C83" s="139" t="str">
        <f>VLOOKUP($B83,Şablon!$E$3:$Q$255,2,FALSE)</f>
        <v>15.14.01 (M) DUŞ KANALI MALZEME TEMİNİ</v>
      </c>
      <c r="D83" s="161" t="str">
        <f>IF(VLOOKUP($B83,'Satınalma Takvimi Veri Girişi'!$B$4:$AC$146,3,FALSE)&lt;&gt;"",VLOOKUP($B83,'Satınalma Takvimi Veri Girişi'!$B$4:$AC$146,3,FALSE),"")</f>
        <v/>
      </c>
      <c r="E83" s="139" t="str">
        <f>VLOOKUP($B83,Şablon!$E$3:$Q$255,3,FALSE)</f>
        <v>B KATEGORİ</v>
      </c>
      <c r="F83" s="140" t="str">
        <f>VLOOKUP($B83,Şablon!$E$3:$Q$255,4,FALSE)</f>
        <v>İNŞ</v>
      </c>
      <c r="G83" s="141">
        <f>VLOOKUP($B83,Şablon!$E$3:$Q$255,5,FALSE)</f>
        <v>0</v>
      </c>
      <c r="H83" s="142" t="str">
        <f t="shared" si="14"/>
        <v/>
      </c>
      <c r="I83" s="143" t="str">
        <f t="shared" si="15"/>
        <v/>
      </c>
      <c r="J83" s="144" t="str">
        <f>IF(VLOOKUP($B83,'Satınalma Takvimi Veri Girişi'!$B$4:$AC$146,7,FALSE)&lt;&gt;"",VLOOKUP($B83,'Satınalma Takvimi Veri Girişi'!$B$4:$AC$146,7,FALSE),"")</f>
        <v/>
      </c>
      <c r="K83" s="141">
        <f>VLOOKUP($B83,Şablon!$E$3:$Q$255,6,FALSE)</f>
        <v>14</v>
      </c>
      <c r="L83" s="142" t="str">
        <f t="shared" si="16"/>
        <v/>
      </c>
      <c r="M83" s="143" t="str">
        <f t="shared" si="17"/>
        <v/>
      </c>
      <c r="N83" s="144" t="str">
        <f>IF(VLOOKUP($B83,'Satınalma Takvimi Veri Girişi'!$B$4:$AC$146,9,FALSE)&lt;&gt;"",VLOOKUP($B83,'Satınalma Takvimi Veri Girişi'!$B$4:$AC$146,9,FALSE),"")</f>
        <v/>
      </c>
      <c r="O83" s="141">
        <f>VLOOKUP($B83,Şablon!$E$3:$Q$255,7,FALSE)</f>
        <v>7</v>
      </c>
      <c r="P83" s="142" t="str">
        <f t="shared" si="18"/>
        <v/>
      </c>
      <c r="Q83" s="143" t="str">
        <f t="shared" si="19"/>
        <v/>
      </c>
      <c r="R83" s="144" t="str">
        <f>IF(VLOOKUP($B83,'Satınalma Takvimi Veri Girişi'!$B$4:$AC$146,11,FALSE)&lt;&gt;"",VLOOKUP($B83,'Satınalma Takvimi Veri Girişi'!$B$4:$AC$146,11,FALSE),"")</f>
        <v/>
      </c>
      <c r="S83" s="141">
        <f>VLOOKUP($B83,Şablon!$E$3:$Q$255,8,FALSE)</f>
        <v>21</v>
      </c>
      <c r="T83" s="142" t="str">
        <f t="shared" si="20"/>
        <v/>
      </c>
      <c r="U83" s="143" t="str">
        <f t="shared" si="21"/>
        <v/>
      </c>
      <c r="V83" s="144" t="str">
        <f>IF(VLOOKUP($B83,'Satınalma Takvimi Veri Girişi'!$B$4:$AC$146,13,FALSE)&lt;&gt;"",VLOOKUP($B83,'Satınalma Takvimi Veri Girişi'!$B$4:$AC$146,13,FALSE),"")</f>
        <v/>
      </c>
      <c r="W83" s="141">
        <f>VLOOKUP($B83,Şablon!$E$3:$Q$255,9,FALSE)</f>
        <v>7</v>
      </c>
      <c r="X83" s="142" t="str">
        <f t="shared" si="22"/>
        <v/>
      </c>
      <c r="Y83" s="143" t="str">
        <f t="shared" si="23"/>
        <v/>
      </c>
      <c r="Z83" s="144" t="str">
        <f>IF(VLOOKUP($B83,'Satınalma Takvimi Veri Girişi'!$B$4:$AC$146,15,FALSE)&lt;&gt;"",VLOOKUP($B83,'Satınalma Takvimi Veri Girişi'!$B$4:$AC$146,15,FALSE),"")</f>
        <v/>
      </c>
      <c r="AA83" s="141">
        <f>VLOOKUP($B83,Şablon!$E$3:$Q$255,10,FALSE)</f>
        <v>7</v>
      </c>
      <c r="AB83" s="142" t="str">
        <f t="shared" si="24"/>
        <v/>
      </c>
      <c r="AC83" s="143" t="str">
        <f t="shared" si="25"/>
        <v/>
      </c>
      <c r="AD83" s="144" t="str">
        <f>IF(VLOOKUP($B83,'Satınalma Takvimi Veri Girişi'!$B$4:$AC$146,17,FALSE)&lt;&gt;"",VLOOKUP($B83,'Satınalma Takvimi Veri Girişi'!$B$4:$AC$146,17,FALSE),"")</f>
        <v/>
      </c>
      <c r="AE83" s="141">
        <f>(VLOOKUP($B83,Şablon!$E$3:$Q$255,11,FALSE)+VLOOKUP($B83,Şablon!$E$3:$Q$255,12,FALSE))</f>
        <v>35</v>
      </c>
      <c r="AF83" s="142" t="str">
        <f t="shared" si="26"/>
        <v/>
      </c>
      <c r="AG83" s="143" t="str">
        <f t="shared" si="27"/>
        <v/>
      </c>
      <c r="AH83" s="144" t="str">
        <f>IF(VLOOKUP($B83,'Satınalma Takvimi Veri Girişi'!$B$4:$AC$146,19,FALSE)&lt;&gt;"",VLOOKUP($B83,'Satınalma Takvimi Veri Girişi'!$B$4:$AC$146,19,FALSE),"")</f>
        <v/>
      </c>
      <c r="AI83" s="145" t="str">
        <f>IF(VLOOKUP($B83,'Satınalma Takvimi Veri Girişi'!$B$4:$AC$146,20,FALSE)&lt;&gt;"",VLOOKUP($B83,'Satınalma Takvimi Veri Girişi'!$B$4:$AC$146,20,FALSE),"")</f>
        <v/>
      </c>
      <c r="AJ83" s="144" t="str">
        <f>IF(VLOOKUP($B83,'Satınalma Takvimi Veri Girişi'!$B$4:$AC$146,21,FALSE)&lt;&gt;"",VLOOKUP($B83,'Satınalma Takvimi Veri Girişi'!$B$4:$AC$146,21,FALSE),"")</f>
        <v/>
      </c>
      <c r="AK83" s="146" t="str">
        <f>IF(VLOOKUP($B83,'Satınalma Takvimi Veri Girişi'!$B$4:$AC$146,22,FALSE)&lt;&gt;"",VLOOKUP($B83,'Satınalma Takvimi Veri Girişi'!$B$4:$AC$146,22,FALSE),"")</f>
        <v/>
      </c>
      <c r="AL83" s="147" t="str">
        <f>IF(VLOOKUP($B83,'Satınalma Takvimi Veri Girişi'!$B$4:$AC$146,23,FALSE)&lt;&gt;"",VLOOKUP($B83,'Satınalma Takvimi Veri Girişi'!$B$4:$AC$146,23,FALSE),"")</f>
        <v/>
      </c>
      <c r="AM83" s="147" t="str">
        <f>IF(VLOOKUP($B83,'Satınalma Takvimi Veri Girişi'!$B$4:$AC$146,24,FALSE)&lt;&gt;"",VLOOKUP($B83,'Satınalma Takvimi Veri Girişi'!$B$4:$AC$146,24,FALSE),"")</f>
        <v/>
      </c>
      <c r="AN83" s="147" t="str">
        <f>IF(VLOOKUP($B83,'Satınalma Takvimi Veri Girişi'!$B$4:$AC$146,25,FALSE)&lt;&gt;"",VLOOKUP($B83,'Satınalma Takvimi Veri Girişi'!$B$4:$AC$146,25,FALSE),"")</f>
        <v/>
      </c>
      <c r="AO83" s="147" t="str">
        <f>IF(VLOOKUP($B83,'Satınalma Takvimi Veri Girişi'!$B$4:$AC$146,26,FALSE)&lt;&gt;"",VLOOKUP($B83,'Satınalma Takvimi Veri Girişi'!$B$4:$AC$146,26,FALSE),"")</f>
        <v/>
      </c>
      <c r="AP83" s="147" t="str">
        <f>IF(VLOOKUP($B83,'Satınalma Takvimi Veri Girişi'!$B$4:$AC$146,27,FALSE)&lt;&gt;"",VLOOKUP($B83,'Satınalma Takvimi Veri Girişi'!$B$4:$AC$146,27,FALSE),"")</f>
        <v/>
      </c>
      <c r="AQ83" s="148" t="str">
        <f>IF(VLOOKUP($B83,'Satınalma Takvimi Veri Girişi'!$B$4:$AC$146,28,FALSE)&lt;&gt;"",VLOOKUP($B83,'Satınalma Takvimi Veri Girişi'!$B$4:$AC$146,28,FALSE),"")</f>
        <v/>
      </c>
    </row>
    <row r="84" spans="2:43" ht="19.8" customHeight="1" x14ac:dyDescent="0.3">
      <c r="B84" s="64" t="str">
        <f>Şablon!E83</f>
        <v>IHL.3028.078/1</v>
      </c>
      <c r="C84" s="139" t="str">
        <f>VLOOKUP($B84,Şablon!$E$3:$Q$255,2,FALSE)</f>
        <v>15.13.00 DİLATASYON PROFİL İŞLERİ</v>
      </c>
      <c r="D84" s="161" t="str">
        <f>IF(VLOOKUP($B84,'Satınalma Takvimi Veri Girişi'!$B$4:$AC$146,3,FALSE)&lt;&gt;"",VLOOKUP($B84,'Satınalma Takvimi Veri Girişi'!$B$4:$AC$146,3,FALSE),"")</f>
        <v/>
      </c>
      <c r="E84" s="139" t="str">
        <f>VLOOKUP($B84,Şablon!$E$3:$Q$255,3,FALSE)</f>
        <v>B KATEGORİ</v>
      </c>
      <c r="F84" s="140" t="str">
        <f>VLOOKUP($B84,Şablon!$E$3:$Q$255,4,FALSE)</f>
        <v>İNŞ</v>
      </c>
      <c r="G84" s="141">
        <f>VLOOKUP($B84,Şablon!$E$3:$Q$255,5,FALSE)</f>
        <v>0</v>
      </c>
      <c r="H84" s="142" t="str">
        <f t="shared" si="14"/>
        <v/>
      </c>
      <c r="I84" s="143" t="str">
        <f t="shared" si="15"/>
        <v/>
      </c>
      <c r="J84" s="144" t="str">
        <f>IF(VLOOKUP($B84,'Satınalma Takvimi Veri Girişi'!$B$4:$AC$146,7,FALSE)&lt;&gt;"",VLOOKUP($B84,'Satınalma Takvimi Veri Girişi'!$B$4:$AC$146,7,FALSE),"")</f>
        <v/>
      </c>
      <c r="K84" s="141">
        <f>VLOOKUP($B84,Şablon!$E$3:$Q$255,6,FALSE)</f>
        <v>14</v>
      </c>
      <c r="L84" s="142" t="str">
        <f t="shared" si="16"/>
        <v/>
      </c>
      <c r="M84" s="143" t="str">
        <f t="shared" si="17"/>
        <v/>
      </c>
      <c r="N84" s="144" t="str">
        <f>IF(VLOOKUP($B84,'Satınalma Takvimi Veri Girişi'!$B$4:$AC$146,9,FALSE)&lt;&gt;"",VLOOKUP($B84,'Satınalma Takvimi Veri Girişi'!$B$4:$AC$146,9,FALSE),"")</f>
        <v/>
      </c>
      <c r="O84" s="141">
        <f>VLOOKUP($B84,Şablon!$E$3:$Q$255,7,FALSE)</f>
        <v>7</v>
      </c>
      <c r="P84" s="142" t="str">
        <f t="shared" si="18"/>
        <v/>
      </c>
      <c r="Q84" s="143" t="str">
        <f t="shared" si="19"/>
        <v/>
      </c>
      <c r="R84" s="144" t="str">
        <f>IF(VLOOKUP($B84,'Satınalma Takvimi Veri Girişi'!$B$4:$AC$146,11,FALSE)&lt;&gt;"",VLOOKUP($B84,'Satınalma Takvimi Veri Girişi'!$B$4:$AC$146,11,FALSE),"")</f>
        <v/>
      </c>
      <c r="S84" s="141">
        <f>VLOOKUP($B84,Şablon!$E$3:$Q$255,8,FALSE)</f>
        <v>14</v>
      </c>
      <c r="T84" s="142" t="str">
        <f t="shared" si="20"/>
        <v/>
      </c>
      <c r="U84" s="143" t="str">
        <f t="shared" si="21"/>
        <v/>
      </c>
      <c r="V84" s="144" t="str">
        <f>IF(VLOOKUP($B84,'Satınalma Takvimi Veri Girişi'!$B$4:$AC$146,13,FALSE)&lt;&gt;"",VLOOKUP($B84,'Satınalma Takvimi Veri Girişi'!$B$4:$AC$146,13,FALSE),"")</f>
        <v/>
      </c>
      <c r="W84" s="141">
        <f>VLOOKUP($B84,Şablon!$E$3:$Q$255,9,FALSE)</f>
        <v>7</v>
      </c>
      <c r="X84" s="142" t="str">
        <f t="shared" si="22"/>
        <v/>
      </c>
      <c r="Y84" s="143" t="str">
        <f t="shared" si="23"/>
        <v/>
      </c>
      <c r="Z84" s="144" t="str">
        <f>IF(VLOOKUP($B84,'Satınalma Takvimi Veri Girişi'!$B$4:$AC$146,15,FALSE)&lt;&gt;"",VLOOKUP($B84,'Satınalma Takvimi Veri Girişi'!$B$4:$AC$146,15,FALSE),"")</f>
        <v/>
      </c>
      <c r="AA84" s="141">
        <f>VLOOKUP($B84,Şablon!$E$3:$Q$255,10,FALSE)</f>
        <v>7</v>
      </c>
      <c r="AB84" s="142" t="str">
        <f t="shared" si="24"/>
        <v/>
      </c>
      <c r="AC84" s="143" t="str">
        <f t="shared" si="25"/>
        <v/>
      </c>
      <c r="AD84" s="144" t="str">
        <f>IF(VLOOKUP($B84,'Satınalma Takvimi Veri Girişi'!$B$4:$AC$146,17,FALSE)&lt;&gt;"",VLOOKUP($B84,'Satınalma Takvimi Veri Girişi'!$B$4:$AC$146,17,FALSE),"")</f>
        <v/>
      </c>
      <c r="AE84" s="141">
        <f>(VLOOKUP($B84,Şablon!$E$3:$Q$255,11,FALSE)+VLOOKUP($B84,Şablon!$E$3:$Q$255,12,FALSE))</f>
        <v>35</v>
      </c>
      <c r="AF84" s="142" t="str">
        <f t="shared" si="26"/>
        <v/>
      </c>
      <c r="AG84" s="143" t="str">
        <f t="shared" si="27"/>
        <v/>
      </c>
      <c r="AH84" s="144" t="str">
        <f>IF(VLOOKUP($B84,'Satınalma Takvimi Veri Girişi'!$B$4:$AC$146,19,FALSE)&lt;&gt;"",VLOOKUP($B84,'Satınalma Takvimi Veri Girişi'!$B$4:$AC$146,19,FALSE),"")</f>
        <v/>
      </c>
      <c r="AI84" s="145" t="str">
        <f>IF(VLOOKUP($B84,'Satınalma Takvimi Veri Girişi'!$B$4:$AC$146,20,FALSE)&lt;&gt;"",VLOOKUP($B84,'Satınalma Takvimi Veri Girişi'!$B$4:$AC$146,20,FALSE),"")</f>
        <v/>
      </c>
      <c r="AJ84" s="144" t="str">
        <f>IF(VLOOKUP($B84,'Satınalma Takvimi Veri Girişi'!$B$4:$AC$146,21,FALSE)&lt;&gt;"",VLOOKUP($B84,'Satınalma Takvimi Veri Girişi'!$B$4:$AC$146,21,FALSE),"")</f>
        <v/>
      </c>
      <c r="AK84" s="146" t="str">
        <f>IF(VLOOKUP($B84,'Satınalma Takvimi Veri Girişi'!$B$4:$AC$146,22,FALSE)&lt;&gt;"",VLOOKUP($B84,'Satınalma Takvimi Veri Girişi'!$B$4:$AC$146,22,FALSE),"")</f>
        <v/>
      </c>
      <c r="AL84" s="147" t="str">
        <f>IF(VLOOKUP($B84,'Satınalma Takvimi Veri Girişi'!$B$4:$AC$146,23,FALSE)&lt;&gt;"",VLOOKUP($B84,'Satınalma Takvimi Veri Girişi'!$B$4:$AC$146,23,FALSE),"")</f>
        <v/>
      </c>
      <c r="AM84" s="147" t="str">
        <f>IF(VLOOKUP($B84,'Satınalma Takvimi Veri Girişi'!$B$4:$AC$146,24,FALSE)&lt;&gt;"",VLOOKUP($B84,'Satınalma Takvimi Veri Girişi'!$B$4:$AC$146,24,FALSE),"")</f>
        <v/>
      </c>
      <c r="AN84" s="147" t="str">
        <f>IF(VLOOKUP($B84,'Satınalma Takvimi Veri Girişi'!$B$4:$AC$146,25,FALSE)&lt;&gt;"",VLOOKUP($B84,'Satınalma Takvimi Veri Girişi'!$B$4:$AC$146,25,FALSE),"")</f>
        <v/>
      </c>
      <c r="AO84" s="147" t="str">
        <f>IF(VLOOKUP($B84,'Satınalma Takvimi Veri Girişi'!$B$4:$AC$146,26,FALSE)&lt;&gt;"",VLOOKUP($B84,'Satınalma Takvimi Veri Girişi'!$B$4:$AC$146,26,FALSE),"")</f>
        <v/>
      </c>
      <c r="AP84" s="147" t="str">
        <f>IF(VLOOKUP($B84,'Satınalma Takvimi Veri Girişi'!$B$4:$AC$146,27,FALSE)&lt;&gt;"",VLOOKUP($B84,'Satınalma Takvimi Veri Girişi'!$B$4:$AC$146,27,FALSE),"")</f>
        <v/>
      </c>
      <c r="AQ84" s="148" t="str">
        <f>IF(VLOOKUP($B84,'Satınalma Takvimi Veri Girişi'!$B$4:$AC$146,28,FALSE)&lt;&gt;"",VLOOKUP($B84,'Satınalma Takvimi Veri Girişi'!$B$4:$AC$146,28,FALSE),"")</f>
        <v/>
      </c>
    </row>
    <row r="85" spans="2:43" ht="19.8" customHeight="1" x14ac:dyDescent="0.3">
      <c r="B85" s="64" t="str">
        <f>Şablon!E84</f>
        <v>IHL.3028.079/1</v>
      </c>
      <c r="C85" s="139" t="str">
        <f>VLOOKUP($B85,Şablon!$E$3:$Q$255,2,FALSE)</f>
        <v>23.03.00 SES YALITIMI</v>
      </c>
      <c r="D85" s="161" t="str">
        <f>IF(VLOOKUP($B85,'Satınalma Takvimi Veri Girişi'!$B$4:$AC$146,3,FALSE)&lt;&gt;"",VLOOKUP($B85,'Satınalma Takvimi Veri Girişi'!$B$4:$AC$146,3,FALSE),"")</f>
        <v/>
      </c>
      <c r="E85" s="139" t="str">
        <f>VLOOKUP($B85,Şablon!$E$3:$Q$255,3,FALSE)</f>
        <v>B KATEGORİ</v>
      </c>
      <c r="F85" s="140" t="str">
        <f>VLOOKUP($B85,Şablon!$E$3:$Q$255,4,FALSE)</f>
        <v>İNŞ</v>
      </c>
      <c r="G85" s="141">
        <f>VLOOKUP($B85,Şablon!$E$3:$Q$255,5,FALSE)</f>
        <v>0</v>
      </c>
      <c r="H85" s="142" t="str">
        <f t="shared" si="14"/>
        <v/>
      </c>
      <c r="I85" s="143" t="str">
        <f t="shared" si="15"/>
        <v/>
      </c>
      <c r="J85" s="144" t="str">
        <f>IF(VLOOKUP($B85,'Satınalma Takvimi Veri Girişi'!$B$4:$AC$146,7,FALSE)&lt;&gt;"",VLOOKUP($B85,'Satınalma Takvimi Veri Girişi'!$B$4:$AC$146,7,FALSE),"")</f>
        <v/>
      </c>
      <c r="K85" s="141">
        <f>VLOOKUP($B85,Şablon!$E$3:$Q$255,6,FALSE)</f>
        <v>14</v>
      </c>
      <c r="L85" s="142" t="str">
        <f t="shared" si="16"/>
        <v/>
      </c>
      <c r="M85" s="143" t="str">
        <f t="shared" si="17"/>
        <v/>
      </c>
      <c r="N85" s="144" t="str">
        <f>IF(VLOOKUP($B85,'Satınalma Takvimi Veri Girişi'!$B$4:$AC$146,9,FALSE)&lt;&gt;"",VLOOKUP($B85,'Satınalma Takvimi Veri Girişi'!$B$4:$AC$146,9,FALSE),"")</f>
        <v/>
      </c>
      <c r="O85" s="141">
        <f>VLOOKUP($B85,Şablon!$E$3:$Q$255,7,FALSE)</f>
        <v>14</v>
      </c>
      <c r="P85" s="142" t="str">
        <f t="shared" si="18"/>
        <v/>
      </c>
      <c r="Q85" s="143" t="str">
        <f t="shared" si="19"/>
        <v/>
      </c>
      <c r="R85" s="144" t="str">
        <f>IF(VLOOKUP($B85,'Satınalma Takvimi Veri Girişi'!$B$4:$AC$146,11,FALSE)&lt;&gt;"",VLOOKUP($B85,'Satınalma Takvimi Veri Girişi'!$B$4:$AC$146,11,FALSE),"")</f>
        <v/>
      </c>
      <c r="S85" s="141">
        <f>VLOOKUP($B85,Şablon!$E$3:$Q$255,8,FALSE)</f>
        <v>21</v>
      </c>
      <c r="T85" s="142" t="str">
        <f t="shared" si="20"/>
        <v/>
      </c>
      <c r="U85" s="143" t="str">
        <f t="shared" si="21"/>
        <v/>
      </c>
      <c r="V85" s="144" t="str">
        <f>IF(VLOOKUP($B85,'Satınalma Takvimi Veri Girişi'!$B$4:$AC$146,13,FALSE)&lt;&gt;"",VLOOKUP($B85,'Satınalma Takvimi Veri Girişi'!$B$4:$AC$146,13,FALSE),"")</f>
        <v/>
      </c>
      <c r="W85" s="141">
        <f>VLOOKUP($B85,Şablon!$E$3:$Q$255,9,FALSE)</f>
        <v>7</v>
      </c>
      <c r="X85" s="142" t="str">
        <f t="shared" si="22"/>
        <v/>
      </c>
      <c r="Y85" s="143" t="str">
        <f t="shared" si="23"/>
        <v/>
      </c>
      <c r="Z85" s="144" t="str">
        <f>IF(VLOOKUP($B85,'Satınalma Takvimi Veri Girişi'!$B$4:$AC$146,15,FALSE)&lt;&gt;"",VLOOKUP($B85,'Satınalma Takvimi Veri Girişi'!$B$4:$AC$146,15,FALSE),"")</f>
        <v/>
      </c>
      <c r="AA85" s="141">
        <f>VLOOKUP($B85,Şablon!$E$3:$Q$255,10,FALSE)</f>
        <v>14</v>
      </c>
      <c r="AB85" s="142" t="str">
        <f t="shared" si="24"/>
        <v/>
      </c>
      <c r="AC85" s="143" t="str">
        <f t="shared" si="25"/>
        <v/>
      </c>
      <c r="AD85" s="144" t="str">
        <f>IF(VLOOKUP($B85,'Satınalma Takvimi Veri Girişi'!$B$4:$AC$146,17,FALSE)&lt;&gt;"",VLOOKUP($B85,'Satınalma Takvimi Veri Girişi'!$B$4:$AC$146,17,FALSE),"")</f>
        <v/>
      </c>
      <c r="AE85" s="141">
        <f>(VLOOKUP($B85,Şablon!$E$3:$Q$255,11,FALSE)+VLOOKUP($B85,Şablon!$E$3:$Q$255,12,FALSE))</f>
        <v>28</v>
      </c>
      <c r="AF85" s="142" t="str">
        <f t="shared" si="26"/>
        <v/>
      </c>
      <c r="AG85" s="143" t="str">
        <f t="shared" si="27"/>
        <v/>
      </c>
      <c r="AH85" s="144" t="str">
        <f>IF(VLOOKUP($B85,'Satınalma Takvimi Veri Girişi'!$B$4:$AC$146,19,FALSE)&lt;&gt;"",VLOOKUP($B85,'Satınalma Takvimi Veri Girişi'!$B$4:$AC$146,19,FALSE),"")</f>
        <v/>
      </c>
      <c r="AI85" s="145" t="str">
        <f>IF(VLOOKUP($B85,'Satınalma Takvimi Veri Girişi'!$B$4:$AC$146,20,FALSE)&lt;&gt;"",VLOOKUP($B85,'Satınalma Takvimi Veri Girişi'!$B$4:$AC$146,20,FALSE),"")</f>
        <v/>
      </c>
      <c r="AJ85" s="144" t="str">
        <f>IF(VLOOKUP($B85,'Satınalma Takvimi Veri Girişi'!$B$4:$AC$146,21,FALSE)&lt;&gt;"",VLOOKUP($B85,'Satınalma Takvimi Veri Girişi'!$B$4:$AC$146,21,FALSE),"")</f>
        <v/>
      </c>
      <c r="AK85" s="146" t="str">
        <f>IF(VLOOKUP($B85,'Satınalma Takvimi Veri Girişi'!$B$4:$AC$146,22,FALSE)&lt;&gt;"",VLOOKUP($B85,'Satınalma Takvimi Veri Girişi'!$B$4:$AC$146,22,FALSE),"")</f>
        <v/>
      </c>
      <c r="AL85" s="147" t="str">
        <f>IF(VLOOKUP($B85,'Satınalma Takvimi Veri Girişi'!$B$4:$AC$146,23,FALSE)&lt;&gt;"",VLOOKUP($B85,'Satınalma Takvimi Veri Girişi'!$B$4:$AC$146,23,FALSE),"")</f>
        <v/>
      </c>
      <c r="AM85" s="147" t="str">
        <f>IF(VLOOKUP($B85,'Satınalma Takvimi Veri Girişi'!$B$4:$AC$146,24,FALSE)&lt;&gt;"",VLOOKUP($B85,'Satınalma Takvimi Veri Girişi'!$B$4:$AC$146,24,FALSE),"")</f>
        <v/>
      </c>
      <c r="AN85" s="147" t="str">
        <f>IF(VLOOKUP($B85,'Satınalma Takvimi Veri Girişi'!$B$4:$AC$146,25,FALSE)&lt;&gt;"",VLOOKUP($B85,'Satınalma Takvimi Veri Girişi'!$B$4:$AC$146,25,FALSE),"")</f>
        <v/>
      </c>
      <c r="AO85" s="147" t="str">
        <f>IF(VLOOKUP($B85,'Satınalma Takvimi Veri Girişi'!$B$4:$AC$146,26,FALSE)&lt;&gt;"",VLOOKUP($B85,'Satınalma Takvimi Veri Girişi'!$B$4:$AC$146,26,FALSE),"")</f>
        <v/>
      </c>
      <c r="AP85" s="147" t="str">
        <f>IF(VLOOKUP($B85,'Satınalma Takvimi Veri Girişi'!$B$4:$AC$146,27,FALSE)&lt;&gt;"",VLOOKUP($B85,'Satınalma Takvimi Veri Girişi'!$B$4:$AC$146,27,FALSE),"")</f>
        <v/>
      </c>
      <c r="AQ85" s="148" t="str">
        <f>IF(VLOOKUP($B85,'Satınalma Takvimi Veri Girişi'!$B$4:$AC$146,28,FALSE)&lt;&gt;"",VLOOKUP($B85,'Satınalma Takvimi Veri Girişi'!$B$4:$AC$146,28,FALSE),"")</f>
        <v/>
      </c>
    </row>
    <row r="86" spans="2:43" ht="19.8" customHeight="1" x14ac:dyDescent="0.3">
      <c r="B86" s="64" t="str">
        <f>Şablon!E85</f>
        <v>IHL.3028.080/1</v>
      </c>
      <c r="C86" s="139" t="str">
        <f>VLOOKUP($B86,Şablon!$E$3:$Q$255,2,FALSE)</f>
        <v>23.03.01 AKUSTİK MENFEZ İŞLERİ</v>
      </c>
      <c r="D86" s="161" t="str">
        <f>IF(VLOOKUP($B86,'Satınalma Takvimi Veri Girişi'!$B$4:$AC$146,3,FALSE)&lt;&gt;"",VLOOKUP($B86,'Satınalma Takvimi Veri Girişi'!$B$4:$AC$146,3,FALSE),"")</f>
        <v/>
      </c>
      <c r="E86" s="139" t="str">
        <f>VLOOKUP($B86,Şablon!$E$3:$Q$255,3,FALSE)</f>
        <v>B KATEGORİ</v>
      </c>
      <c r="F86" s="140" t="str">
        <f>VLOOKUP($B86,Şablon!$E$3:$Q$255,4,FALSE)</f>
        <v>İNŞ</v>
      </c>
      <c r="G86" s="141">
        <f>VLOOKUP($B86,Şablon!$E$3:$Q$255,5,FALSE)</f>
        <v>0</v>
      </c>
      <c r="H86" s="142" t="str">
        <f t="shared" si="14"/>
        <v/>
      </c>
      <c r="I86" s="143" t="str">
        <f t="shared" si="15"/>
        <v/>
      </c>
      <c r="J86" s="144" t="str">
        <f>IF(VLOOKUP($B86,'Satınalma Takvimi Veri Girişi'!$B$4:$AC$146,7,FALSE)&lt;&gt;"",VLOOKUP($B86,'Satınalma Takvimi Veri Girişi'!$B$4:$AC$146,7,FALSE),"")</f>
        <v/>
      </c>
      <c r="K86" s="141">
        <f>VLOOKUP($B86,Şablon!$E$3:$Q$255,6,FALSE)</f>
        <v>14</v>
      </c>
      <c r="L86" s="142" t="str">
        <f t="shared" si="16"/>
        <v/>
      </c>
      <c r="M86" s="143" t="str">
        <f t="shared" si="17"/>
        <v/>
      </c>
      <c r="N86" s="144" t="str">
        <f>IF(VLOOKUP($B86,'Satınalma Takvimi Veri Girişi'!$B$4:$AC$146,9,FALSE)&lt;&gt;"",VLOOKUP($B86,'Satınalma Takvimi Veri Girişi'!$B$4:$AC$146,9,FALSE),"")</f>
        <v/>
      </c>
      <c r="O86" s="141">
        <f>VLOOKUP($B86,Şablon!$E$3:$Q$255,7,FALSE)</f>
        <v>14</v>
      </c>
      <c r="P86" s="142" t="str">
        <f t="shared" si="18"/>
        <v/>
      </c>
      <c r="Q86" s="143" t="str">
        <f t="shared" si="19"/>
        <v/>
      </c>
      <c r="R86" s="144" t="str">
        <f>IF(VLOOKUP($B86,'Satınalma Takvimi Veri Girişi'!$B$4:$AC$146,11,FALSE)&lt;&gt;"",VLOOKUP($B86,'Satınalma Takvimi Veri Girişi'!$B$4:$AC$146,11,FALSE),"")</f>
        <v/>
      </c>
      <c r="S86" s="141">
        <f>VLOOKUP($B86,Şablon!$E$3:$Q$255,8,FALSE)</f>
        <v>28</v>
      </c>
      <c r="T86" s="142" t="str">
        <f t="shared" si="20"/>
        <v/>
      </c>
      <c r="U86" s="143" t="str">
        <f t="shared" si="21"/>
        <v/>
      </c>
      <c r="V86" s="144" t="str">
        <f>IF(VLOOKUP($B86,'Satınalma Takvimi Veri Girişi'!$B$4:$AC$146,13,FALSE)&lt;&gt;"",VLOOKUP($B86,'Satınalma Takvimi Veri Girişi'!$B$4:$AC$146,13,FALSE),"")</f>
        <v/>
      </c>
      <c r="W86" s="141">
        <f>VLOOKUP($B86,Şablon!$E$3:$Q$255,9,FALSE)</f>
        <v>7</v>
      </c>
      <c r="X86" s="142" t="str">
        <f t="shared" si="22"/>
        <v/>
      </c>
      <c r="Y86" s="143" t="str">
        <f t="shared" si="23"/>
        <v/>
      </c>
      <c r="Z86" s="144" t="str">
        <f>IF(VLOOKUP($B86,'Satınalma Takvimi Veri Girişi'!$B$4:$AC$146,15,FALSE)&lt;&gt;"",VLOOKUP($B86,'Satınalma Takvimi Veri Girişi'!$B$4:$AC$146,15,FALSE),"")</f>
        <v/>
      </c>
      <c r="AA86" s="141">
        <f>VLOOKUP($B86,Şablon!$E$3:$Q$255,10,FALSE)</f>
        <v>14</v>
      </c>
      <c r="AB86" s="142" t="str">
        <f t="shared" si="24"/>
        <v/>
      </c>
      <c r="AC86" s="143" t="str">
        <f t="shared" si="25"/>
        <v/>
      </c>
      <c r="AD86" s="144" t="str">
        <f>IF(VLOOKUP($B86,'Satınalma Takvimi Veri Girişi'!$B$4:$AC$146,17,FALSE)&lt;&gt;"",VLOOKUP($B86,'Satınalma Takvimi Veri Girişi'!$B$4:$AC$146,17,FALSE),"")</f>
        <v/>
      </c>
      <c r="AE86" s="141">
        <f>(VLOOKUP($B86,Şablon!$E$3:$Q$255,11,FALSE)+VLOOKUP($B86,Şablon!$E$3:$Q$255,12,FALSE))</f>
        <v>56</v>
      </c>
      <c r="AF86" s="142" t="str">
        <f t="shared" si="26"/>
        <v/>
      </c>
      <c r="AG86" s="143" t="str">
        <f t="shared" si="27"/>
        <v/>
      </c>
      <c r="AH86" s="144" t="str">
        <f>IF(VLOOKUP($B86,'Satınalma Takvimi Veri Girişi'!$B$4:$AC$146,19,FALSE)&lt;&gt;"",VLOOKUP($B86,'Satınalma Takvimi Veri Girişi'!$B$4:$AC$146,19,FALSE),"")</f>
        <v/>
      </c>
      <c r="AI86" s="145" t="str">
        <f>IF(VLOOKUP($B86,'Satınalma Takvimi Veri Girişi'!$B$4:$AC$146,20,FALSE)&lt;&gt;"",VLOOKUP($B86,'Satınalma Takvimi Veri Girişi'!$B$4:$AC$146,20,FALSE),"")</f>
        <v/>
      </c>
      <c r="AJ86" s="144" t="str">
        <f>IF(VLOOKUP($B86,'Satınalma Takvimi Veri Girişi'!$B$4:$AC$146,21,FALSE)&lt;&gt;"",VLOOKUP($B86,'Satınalma Takvimi Veri Girişi'!$B$4:$AC$146,21,FALSE),"")</f>
        <v/>
      </c>
      <c r="AK86" s="146" t="str">
        <f>IF(VLOOKUP($B86,'Satınalma Takvimi Veri Girişi'!$B$4:$AC$146,22,FALSE)&lt;&gt;"",VLOOKUP($B86,'Satınalma Takvimi Veri Girişi'!$B$4:$AC$146,22,FALSE),"")</f>
        <v/>
      </c>
      <c r="AL86" s="147" t="str">
        <f>IF(VLOOKUP($B86,'Satınalma Takvimi Veri Girişi'!$B$4:$AC$146,23,FALSE)&lt;&gt;"",VLOOKUP($B86,'Satınalma Takvimi Veri Girişi'!$B$4:$AC$146,23,FALSE),"")</f>
        <v/>
      </c>
      <c r="AM86" s="147" t="str">
        <f>IF(VLOOKUP($B86,'Satınalma Takvimi Veri Girişi'!$B$4:$AC$146,24,FALSE)&lt;&gt;"",VLOOKUP($B86,'Satınalma Takvimi Veri Girişi'!$B$4:$AC$146,24,FALSE),"")</f>
        <v/>
      </c>
      <c r="AN86" s="147" t="str">
        <f>IF(VLOOKUP($B86,'Satınalma Takvimi Veri Girişi'!$B$4:$AC$146,25,FALSE)&lt;&gt;"",VLOOKUP($B86,'Satınalma Takvimi Veri Girişi'!$B$4:$AC$146,25,FALSE),"")</f>
        <v/>
      </c>
      <c r="AO86" s="147" t="str">
        <f>IF(VLOOKUP($B86,'Satınalma Takvimi Veri Girişi'!$B$4:$AC$146,26,FALSE)&lt;&gt;"",VLOOKUP($B86,'Satınalma Takvimi Veri Girişi'!$B$4:$AC$146,26,FALSE),"")</f>
        <v/>
      </c>
      <c r="AP86" s="147" t="str">
        <f>IF(VLOOKUP($B86,'Satınalma Takvimi Veri Girişi'!$B$4:$AC$146,27,FALSE)&lt;&gt;"",VLOOKUP($B86,'Satınalma Takvimi Veri Girişi'!$B$4:$AC$146,27,FALSE),"")</f>
        <v/>
      </c>
      <c r="AQ86" s="148" t="str">
        <f>IF(VLOOKUP($B86,'Satınalma Takvimi Veri Girişi'!$B$4:$AC$146,28,FALSE)&lt;&gt;"",VLOOKUP($B86,'Satınalma Takvimi Veri Girişi'!$B$4:$AC$146,28,FALSE),"")</f>
        <v/>
      </c>
    </row>
    <row r="87" spans="2:43" ht="19.8" customHeight="1" x14ac:dyDescent="0.3">
      <c r="B87" s="64" t="str">
        <f>Şablon!E86</f>
        <v>IHL.3028.081/1</v>
      </c>
      <c r="C87" s="139" t="str">
        <f>VLOOKUP($B87,Şablon!$E$3:$Q$255,2,FALSE)</f>
        <v xml:space="preserve">15.09.01 (M) HAVUZ TUTAMAK, KAYMAZ, IZGARA MALZEME </v>
      </c>
      <c r="D87" s="161" t="str">
        <f>IF(VLOOKUP($B87,'Satınalma Takvimi Veri Girişi'!$B$4:$AC$146,3,FALSE)&lt;&gt;"",VLOOKUP($B87,'Satınalma Takvimi Veri Girişi'!$B$4:$AC$146,3,FALSE),"")</f>
        <v/>
      </c>
      <c r="E87" s="139" t="str">
        <f>VLOOKUP($B87,Şablon!$E$3:$Q$255,3,FALSE)</f>
        <v>B KATEGORİ</v>
      </c>
      <c r="F87" s="140" t="str">
        <f>VLOOKUP($B87,Şablon!$E$3:$Q$255,4,FALSE)</f>
        <v>İNŞ</v>
      </c>
      <c r="G87" s="141">
        <f>VLOOKUP($B87,Şablon!$E$3:$Q$255,5,FALSE)</f>
        <v>0</v>
      </c>
      <c r="H87" s="142" t="str">
        <f t="shared" si="14"/>
        <v/>
      </c>
      <c r="I87" s="143" t="str">
        <f t="shared" si="15"/>
        <v/>
      </c>
      <c r="J87" s="144" t="str">
        <f>IF(VLOOKUP($B87,'Satınalma Takvimi Veri Girişi'!$B$4:$AC$146,7,FALSE)&lt;&gt;"",VLOOKUP($B87,'Satınalma Takvimi Veri Girişi'!$B$4:$AC$146,7,FALSE),"")</f>
        <v/>
      </c>
      <c r="K87" s="141">
        <f>VLOOKUP($B87,Şablon!$E$3:$Q$255,6,FALSE)</f>
        <v>14</v>
      </c>
      <c r="L87" s="142" t="str">
        <f t="shared" si="16"/>
        <v/>
      </c>
      <c r="M87" s="143" t="str">
        <f t="shared" si="17"/>
        <v/>
      </c>
      <c r="N87" s="144" t="str">
        <f>IF(VLOOKUP($B87,'Satınalma Takvimi Veri Girişi'!$B$4:$AC$146,9,FALSE)&lt;&gt;"",VLOOKUP($B87,'Satınalma Takvimi Veri Girişi'!$B$4:$AC$146,9,FALSE),"")</f>
        <v/>
      </c>
      <c r="O87" s="141">
        <f>VLOOKUP($B87,Şablon!$E$3:$Q$255,7,FALSE)</f>
        <v>7</v>
      </c>
      <c r="P87" s="142" t="str">
        <f t="shared" si="18"/>
        <v/>
      </c>
      <c r="Q87" s="143" t="str">
        <f t="shared" si="19"/>
        <v/>
      </c>
      <c r="R87" s="144" t="str">
        <f>IF(VLOOKUP($B87,'Satınalma Takvimi Veri Girişi'!$B$4:$AC$146,11,FALSE)&lt;&gt;"",VLOOKUP($B87,'Satınalma Takvimi Veri Girişi'!$B$4:$AC$146,11,FALSE),"")</f>
        <v/>
      </c>
      <c r="S87" s="141">
        <f>VLOOKUP($B87,Şablon!$E$3:$Q$255,8,FALSE)</f>
        <v>21</v>
      </c>
      <c r="T87" s="142" t="str">
        <f t="shared" si="20"/>
        <v/>
      </c>
      <c r="U87" s="143" t="str">
        <f t="shared" si="21"/>
        <v/>
      </c>
      <c r="V87" s="144" t="str">
        <f>IF(VLOOKUP($B87,'Satınalma Takvimi Veri Girişi'!$B$4:$AC$146,13,FALSE)&lt;&gt;"",VLOOKUP($B87,'Satınalma Takvimi Veri Girişi'!$B$4:$AC$146,13,FALSE),"")</f>
        <v/>
      </c>
      <c r="W87" s="141">
        <f>VLOOKUP($B87,Şablon!$E$3:$Q$255,9,FALSE)</f>
        <v>7</v>
      </c>
      <c r="X87" s="142" t="str">
        <f t="shared" si="22"/>
        <v/>
      </c>
      <c r="Y87" s="143" t="str">
        <f t="shared" si="23"/>
        <v/>
      </c>
      <c r="Z87" s="144" t="str">
        <f>IF(VLOOKUP($B87,'Satınalma Takvimi Veri Girişi'!$B$4:$AC$146,15,FALSE)&lt;&gt;"",VLOOKUP($B87,'Satınalma Takvimi Veri Girişi'!$B$4:$AC$146,15,FALSE),"")</f>
        <v/>
      </c>
      <c r="AA87" s="141">
        <f>VLOOKUP($B87,Şablon!$E$3:$Q$255,10,FALSE)</f>
        <v>14</v>
      </c>
      <c r="AB87" s="142" t="str">
        <f t="shared" si="24"/>
        <v/>
      </c>
      <c r="AC87" s="143" t="str">
        <f t="shared" si="25"/>
        <v/>
      </c>
      <c r="AD87" s="144" t="str">
        <f>IF(VLOOKUP($B87,'Satınalma Takvimi Veri Girişi'!$B$4:$AC$146,17,FALSE)&lt;&gt;"",VLOOKUP($B87,'Satınalma Takvimi Veri Girişi'!$B$4:$AC$146,17,FALSE),"")</f>
        <v/>
      </c>
      <c r="AE87" s="141">
        <f>(VLOOKUP($B87,Şablon!$E$3:$Q$255,11,FALSE)+VLOOKUP($B87,Şablon!$E$3:$Q$255,12,FALSE))</f>
        <v>67</v>
      </c>
      <c r="AF87" s="142" t="str">
        <f t="shared" si="26"/>
        <v/>
      </c>
      <c r="AG87" s="143" t="str">
        <f t="shared" si="27"/>
        <v/>
      </c>
      <c r="AH87" s="144" t="str">
        <f>IF(VLOOKUP($B87,'Satınalma Takvimi Veri Girişi'!$B$4:$AC$146,19,FALSE)&lt;&gt;"",VLOOKUP($B87,'Satınalma Takvimi Veri Girişi'!$B$4:$AC$146,19,FALSE),"")</f>
        <v/>
      </c>
      <c r="AI87" s="145" t="str">
        <f>IF(VLOOKUP($B87,'Satınalma Takvimi Veri Girişi'!$B$4:$AC$146,20,FALSE)&lt;&gt;"",VLOOKUP($B87,'Satınalma Takvimi Veri Girişi'!$B$4:$AC$146,20,FALSE),"")</f>
        <v/>
      </c>
      <c r="AJ87" s="144" t="str">
        <f>IF(VLOOKUP($B87,'Satınalma Takvimi Veri Girişi'!$B$4:$AC$146,21,FALSE)&lt;&gt;"",VLOOKUP($B87,'Satınalma Takvimi Veri Girişi'!$B$4:$AC$146,21,FALSE),"")</f>
        <v/>
      </c>
      <c r="AK87" s="146" t="str">
        <f>IF(VLOOKUP($B87,'Satınalma Takvimi Veri Girişi'!$B$4:$AC$146,22,FALSE)&lt;&gt;"",VLOOKUP($B87,'Satınalma Takvimi Veri Girişi'!$B$4:$AC$146,22,FALSE),"")</f>
        <v/>
      </c>
      <c r="AL87" s="147" t="str">
        <f>IF(VLOOKUP($B87,'Satınalma Takvimi Veri Girişi'!$B$4:$AC$146,23,FALSE)&lt;&gt;"",VLOOKUP($B87,'Satınalma Takvimi Veri Girişi'!$B$4:$AC$146,23,FALSE),"")</f>
        <v/>
      </c>
      <c r="AM87" s="147" t="str">
        <f>IF(VLOOKUP($B87,'Satınalma Takvimi Veri Girişi'!$B$4:$AC$146,24,FALSE)&lt;&gt;"",VLOOKUP($B87,'Satınalma Takvimi Veri Girişi'!$B$4:$AC$146,24,FALSE),"")</f>
        <v/>
      </c>
      <c r="AN87" s="147" t="str">
        <f>IF(VLOOKUP($B87,'Satınalma Takvimi Veri Girişi'!$B$4:$AC$146,25,FALSE)&lt;&gt;"",VLOOKUP($B87,'Satınalma Takvimi Veri Girişi'!$B$4:$AC$146,25,FALSE),"")</f>
        <v/>
      </c>
      <c r="AO87" s="147" t="str">
        <f>IF(VLOOKUP($B87,'Satınalma Takvimi Veri Girişi'!$B$4:$AC$146,26,FALSE)&lt;&gt;"",VLOOKUP($B87,'Satınalma Takvimi Veri Girişi'!$B$4:$AC$146,26,FALSE),"")</f>
        <v/>
      </c>
      <c r="AP87" s="147" t="str">
        <f>IF(VLOOKUP($B87,'Satınalma Takvimi Veri Girişi'!$B$4:$AC$146,27,FALSE)&lt;&gt;"",VLOOKUP($B87,'Satınalma Takvimi Veri Girişi'!$B$4:$AC$146,27,FALSE),"")</f>
        <v/>
      </c>
      <c r="AQ87" s="148" t="str">
        <f>IF(VLOOKUP($B87,'Satınalma Takvimi Veri Girişi'!$B$4:$AC$146,28,FALSE)&lt;&gt;"",VLOOKUP($B87,'Satınalma Takvimi Veri Girişi'!$B$4:$AC$146,28,FALSE),"")</f>
        <v/>
      </c>
    </row>
    <row r="88" spans="2:43" ht="19.8" customHeight="1" x14ac:dyDescent="0.3">
      <c r="B88" s="64" t="str">
        <f>Şablon!E87</f>
        <v>IHL.3028.082/1</v>
      </c>
      <c r="C88" s="139" t="str">
        <f>VLOOKUP($B88,Şablon!$E$3:$Q$255,2,FALSE)</f>
        <v>27.00.00 ATIKSU &amp; YAĞMUR SUYU ALTYAPI İŞLERİ</v>
      </c>
      <c r="D88" s="161" t="str">
        <f>IF(VLOOKUP($B88,'Satınalma Takvimi Veri Girişi'!$B$4:$AC$146,3,FALSE)&lt;&gt;"",VLOOKUP($B88,'Satınalma Takvimi Veri Girişi'!$B$4:$AC$146,3,FALSE),"")</f>
        <v/>
      </c>
      <c r="E88" s="139" t="str">
        <f>VLOOKUP($B88,Şablon!$E$3:$Q$255,3,FALSE)</f>
        <v>B KATEGORİ</v>
      </c>
      <c r="F88" s="140" t="str">
        <f>VLOOKUP($B88,Şablon!$E$3:$Q$255,4,FALSE)</f>
        <v>İNŞ</v>
      </c>
      <c r="G88" s="141">
        <f>VLOOKUP($B88,Şablon!$E$3:$Q$255,5,FALSE)</f>
        <v>0</v>
      </c>
      <c r="H88" s="142" t="str">
        <f t="shared" si="14"/>
        <v/>
      </c>
      <c r="I88" s="143" t="str">
        <f t="shared" si="15"/>
        <v/>
      </c>
      <c r="J88" s="144" t="str">
        <f>IF(VLOOKUP($B88,'Satınalma Takvimi Veri Girişi'!$B$4:$AC$146,7,FALSE)&lt;&gt;"",VLOOKUP($B88,'Satınalma Takvimi Veri Girişi'!$B$4:$AC$146,7,FALSE),"")</f>
        <v/>
      </c>
      <c r="K88" s="141">
        <f>VLOOKUP($B88,Şablon!$E$3:$Q$255,6,FALSE)</f>
        <v>14</v>
      </c>
      <c r="L88" s="142" t="str">
        <f t="shared" si="16"/>
        <v/>
      </c>
      <c r="M88" s="143" t="str">
        <f t="shared" si="17"/>
        <v/>
      </c>
      <c r="N88" s="144" t="str">
        <f>IF(VLOOKUP($B88,'Satınalma Takvimi Veri Girişi'!$B$4:$AC$146,9,FALSE)&lt;&gt;"",VLOOKUP($B88,'Satınalma Takvimi Veri Girişi'!$B$4:$AC$146,9,FALSE),"")</f>
        <v/>
      </c>
      <c r="O88" s="141">
        <f>VLOOKUP($B88,Şablon!$E$3:$Q$255,7,FALSE)</f>
        <v>7</v>
      </c>
      <c r="P88" s="142" t="str">
        <f t="shared" si="18"/>
        <v/>
      </c>
      <c r="Q88" s="143" t="str">
        <f t="shared" si="19"/>
        <v/>
      </c>
      <c r="R88" s="144" t="str">
        <f>IF(VLOOKUP($B88,'Satınalma Takvimi Veri Girişi'!$B$4:$AC$146,11,FALSE)&lt;&gt;"",VLOOKUP($B88,'Satınalma Takvimi Veri Girişi'!$B$4:$AC$146,11,FALSE),"")</f>
        <v/>
      </c>
      <c r="S88" s="141">
        <f>VLOOKUP($B88,Şablon!$E$3:$Q$255,8,FALSE)</f>
        <v>21</v>
      </c>
      <c r="T88" s="142" t="str">
        <f t="shared" si="20"/>
        <v/>
      </c>
      <c r="U88" s="143" t="str">
        <f t="shared" si="21"/>
        <v/>
      </c>
      <c r="V88" s="144" t="str">
        <f>IF(VLOOKUP($B88,'Satınalma Takvimi Veri Girişi'!$B$4:$AC$146,13,FALSE)&lt;&gt;"",VLOOKUP($B88,'Satınalma Takvimi Veri Girişi'!$B$4:$AC$146,13,FALSE),"")</f>
        <v/>
      </c>
      <c r="W88" s="141">
        <f>VLOOKUP($B88,Şablon!$E$3:$Q$255,9,FALSE)</f>
        <v>7</v>
      </c>
      <c r="X88" s="142" t="str">
        <f t="shared" si="22"/>
        <v/>
      </c>
      <c r="Y88" s="143" t="str">
        <f t="shared" si="23"/>
        <v/>
      </c>
      <c r="Z88" s="144" t="str">
        <f>IF(VLOOKUP($B88,'Satınalma Takvimi Veri Girişi'!$B$4:$AC$146,15,FALSE)&lt;&gt;"",VLOOKUP($B88,'Satınalma Takvimi Veri Girişi'!$B$4:$AC$146,15,FALSE),"")</f>
        <v/>
      </c>
      <c r="AA88" s="141">
        <f>VLOOKUP($B88,Şablon!$E$3:$Q$255,10,FALSE)</f>
        <v>14</v>
      </c>
      <c r="AB88" s="142" t="str">
        <f t="shared" si="24"/>
        <v/>
      </c>
      <c r="AC88" s="143" t="str">
        <f t="shared" si="25"/>
        <v/>
      </c>
      <c r="AD88" s="144" t="str">
        <f>IF(VLOOKUP($B88,'Satınalma Takvimi Veri Girişi'!$B$4:$AC$146,17,FALSE)&lt;&gt;"",VLOOKUP($B88,'Satınalma Takvimi Veri Girişi'!$B$4:$AC$146,17,FALSE),"")</f>
        <v/>
      </c>
      <c r="AE88" s="141">
        <f>(VLOOKUP($B88,Şablon!$E$3:$Q$255,11,FALSE)+VLOOKUP($B88,Şablon!$E$3:$Q$255,12,FALSE))</f>
        <v>7</v>
      </c>
      <c r="AF88" s="142" t="str">
        <f t="shared" si="26"/>
        <v/>
      </c>
      <c r="AG88" s="143" t="str">
        <f t="shared" si="27"/>
        <v/>
      </c>
      <c r="AH88" s="144" t="str">
        <f>IF(VLOOKUP($B88,'Satınalma Takvimi Veri Girişi'!$B$4:$AC$146,19,FALSE)&lt;&gt;"",VLOOKUP($B88,'Satınalma Takvimi Veri Girişi'!$B$4:$AC$146,19,FALSE),"")</f>
        <v/>
      </c>
      <c r="AI88" s="145" t="str">
        <f>IF(VLOOKUP($B88,'Satınalma Takvimi Veri Girişi'!$B$4:$AC$146,20,FALSE)&lt;&gt;"",VLOOKUP($B88,'Satınalma Takvimi Veri Girişi'!$B$4:$AC$146,20,FALSE),"")</f>
        <v/>
      </c>
      <c r="AJ88" s="144" t="str">
        <f>IF(VLOOKUP($B88,'Satınalma Takvimi Veri Girişi'!$B$4:$AC$146,21,FALSE)&lt;&gt;"",VLOOKUP($B88,'Satınalma Takvimi Veri Girişi'!$B$4:$AC$146,21,FALSE),"")</f>
        <v/>
      </c>
      <c r="AK88" s="146" t="str">
        <f>IF(VLOOKUP($B88,'Satınalma Takvimi Veri Girişi'!$B$4:$AC$146,22,FALSE)&lt;&gt;"",VLOOKUP($B88,'Satınalma Takvimi Veri Girişi'!$B$4:$AC$146,22,FALSE),"")</f>
        <v/>
      </c>
      <c r="AL88" s="147" t="str">
        <f>IF(VLOOKUP($B88,'Satınalma Takvimi Veri Girişi'!$B$4:$AC$146,23,FALSE)&lt;&gt;"",VLOOKUP($B88,'Satınalma Takvimi Veri Girişi'!$B$4:$AC$146,23,FALSE),"")</f>
        <v/>
      </c>
      <c r="AM88" s="147" t="str">
        <f>IF(VLOOKUP($B88,'Satınalma Takvimi Veri Girişi'!$B$4:$AC$146,24,FALSE)&lt;&gt;"",VLOOKUP($B88,'Satınalma Takvimi Veri Girişi'!$B$4:$AC$146,24,FALSE),"")</f>
        <v/>
      </c>
      <c r="AN88" s="147" t="str">
        <f>IF(VLOOKUP($B88,'Satınalma Takvimi Veri Girişi'!$B$4:$AC$146,25,FALSE)&lt;&gt;"",VLOOKUP($B88,'Satınalma Takvimi Veri Girişi'!$B$4:$AC$146,25,FALSE),"")</f>
        <v/>
      </c>
      <c r="AO88" s="147" t="str">
        <f>IF(VLOOKUP($B88,'Satınalma Takvimi Veri Girişi'!$B$4:$AC$146,26,FALSE)&lt;&gt;"",VLOOKUP($B88,'Satınalma Takvimi Veri Girişi'!$B$4:$AC$146,26,FALSE),"")</f>
        <v/>
      </c>
      <c r="AP88" s="147" t="str">
        <f>IF(VLOOKUP($B88,'Satınalma Takvimi Veri Girişi'!$B$4:$AC$146,27,FALSE)&lt;&gt;"",VLOOKUP($B88,'Satınalma Takvimi Veri Girişi'!$B$4:$AC$146,27,FALSE),"")</f>
        <v/>
      </c>
      <c r="AQ88" s="148" t="str">
        <f>IF(VLOOKUP($B88,'Satınalma Takvimi Veri Girişi'!$B$4:$AC$146,28,FALSE)&lt;&gt;"",VLOOKUP($B88,'Satınalma Takvimi Veri Girişi'!$B$4:$AC$146,28,FALSE),"")</f>
        <v/>
      </c>
    </row>
    <row r="89" spans="2:43" ht="19.8" customHeight="1" x14ac:dyDescent="0.3">
      <c r="B89" s="64" t="str">
        <f>Şablon!E88</f>
        <v>IHL.3028.083/1</v>
      </c>
      <c r="C89" s="139" t="str">
        <f>VLOOKUP($B89,Şablon!$E$3:$Q$255,2,FALSE)</f>
        <v>17.01.00 SAUNA &amp; BUHAR ODASI İŞLERİ</v>
      </c>
      <c r="D89" s="161" t="str">
        <f>IF(VLOOKUP($B89,'Satınalma Takvimi Veri Girişi'!$B$4:$AC$146,3,FALSE)&lt;&gt;"",VLOOKUP($B89,'Satınalma Takvimi Veri Girişi'!$B$4:$AC$146,3,FALSE),"")</f>
        <v/>
      </c>
      <c r="E89" s="139" t="str">
        <f>VLOOKUP($B89,Şablon!$E$3:$Q$255,3,FALSE)</f>
        <v>B KATEGORİ</v>
      </c>
      <c r="F89" s="140" t="str">
        <f>VLOOKUP($B89,Şablon!$E$3:$Q$255,4,FALSE)</f>
        <v>İNŞ</v>
      </c>
      <c r="G89" s="141">
        <f>VLOOKUP($B89,Şablon!$E$3:$Q$255,5,FALSE)</f>
        <v>0</v>
      </c>
      <c r="H89" s="142" t="str">
        <f t="shared" si="14"/>
        <v/>
      </c>
      <c r="I89" s="143" t="str">
        <f t="shared" si="15"/>
        <v/>
      </c>
      <c r="J89" s="144" t="str">
        <f>IF(VLOOKUP($B89,'Satınalma Takvimi Veri Girişi'!$B$4:$AC$146,7,FALSE)&lt;&gt;"",VLOOKUP($B89,'Satınalma Takvimi Veri Girişi'!$B$4:$AC$146,7,FALSE),"")</f>
        <v/>
      </c>
      <c r="K89" s="141">
        <f>VLOOKUP($B89,Şablon!$E$3:$Q$255,6,FALSE)</f>
        <v>14</v>
      </c>
      <c r="L89" s="142" t="str">
        <f t="shared" si="16"/>
        <v/>
      </c>
      <c r="M89" s="143" t="str">
        <f t="shared" si="17"/>
        <v/>
      </c>
      <c r="N89" s="144" t="str">
        <f>IF(VLOOKUP($B89,'Satınalma Takvimi Veri Girişi'!$B$4:$AC$146,9,FALSE)&lt;&gt;"",VLOOKUP($B89,'Satınalma Takvimi Veri Girişi'!$B$4:$AC$146,9,FALSE),"")</f>
        <v/>
      </c>
      <c r="O89" s="141">
        <f>VLOOKUP($B89,Şablon!$E$3:$Q$255,7,FALSE)</f>
        <v>7</v>
      </c>
      <c r="P89" s="142" t="str">
        <f t="shared" si="18"/>
        <v/>
      </c>
      <c r="Q89" s="143" t="str">
        <f t="shared" si="19"/>
        <v/>
      </c>
      <c r="R89" s="144" t="str">
        <f>IF(VLOOKUP($B89,'Satınalma Takvimi Veri Girişi'!$B$4:$AC$146,11,FALSE)&lt;&gt;"",VLOOKUP($B89,'Satınalma Takvimi Veri Girişi'!$B$4:$AC$146,11,FALSE),"")</f>
        <v/>
      </c>
      <c r="S89" s="141">
        <f>VLOOKUP($B89,Şablon!$E$3:$Q$255,8,FALSE)</f>
        <v>14</v>
      </c>
      <c r="T89" s="142" t="str">
        <f t="shared" si="20"/>
        <v/>
      </c>
      <c r="U89" s="143" t="str">
        <f t="shared" si="21"/>
        <v/>
      </c>
      <c r="V89" s="144" t="str">
        <f>IF(VLOOKUP($B89,'Satınalma Takvimi Veri Girişi'!$B$4:$AC$146,13,FALSE)&lt;&gt;"",VLOOKUP($B89,'Satınalma Takvimi Veri Girişi'!$B$4:$AC$146,13,FALSE),"")</f>
        <v/>
      </c>
      <c r="W89" s="141">
        <f>VLOOKUP($B89,Şablon!$E$3:$Q$255,9,FALSE)</f>
        <v>7</v>
      </c>
      <c r="X89" s="142" t="str">
        <f t="shared" si="22"/>
        <v/>
      </c>
      <c r="Y89" s="143" t="str">
        <f t="shared" si="23"/>
        <v/>
      </c>
      <c r="Z89" s="144" t="str">
        <f>IF(VLOOKUP($B89,'Satınalma Takvimi Veri Girişi'!$B$4:$AC$146,15,FALSE)&lt;&gt;"",VLOOKUP($B89,'Satınalma Takvimi Veri Girişi'!$B$4:$AC$146,15,FALSE),"")</f>
        <v/>
      </c>
      <c r="AA89" s="141">
        <f>VLOOKUP($B89,Şablon!$E$3:$Q$255,10,FALSE)</f>
        <v>14</v>
      </c>
      <c r="AB89" s="142" t="str">
        <f t="shared" si="24"/>
        <v/>
      </c>
      <c r="AC89" s="143" t="str">
        <f t="shared" si="25"/>
        <v/>
      </c>
      <c r="AD89" s="144" t="str">
        <f>IF(VLOOKUP($B89,'Satınalma Takvimi Veri Girişi'!$B$4:$AC$146,17,FALSE)&lt;&gt;"",VLOOKUP($B89,'Satınalma Takvimi Veri Girişi'!$B$4:$AC$146,17,FALSE),"")</f>
        <v/>
      </c>
      <c r="AE89" s="141">
        <f>(VLOOKUP($B89,Şablon!$E$3:$Q$255,11,FALSE)+VLOOKUP($B89,Şablon!$E$3:$Q$255,12,FALSE))</f>
        <v>35</v>
      </c>
      <c r="AF89" s="142" t="str">
        <f t="shared" si="26"/>
        <v/>
      </c>
      <c r="AG89" s="143" t="str">
        <f t="shared" si="27"/>
        <v/>
      </c>
      <c r="AH89" s="144" t="str">
        <f>IF(VLOOKUP($B89,'Satınalma Takvimi Veri Girişi'!$B$4:$AC$146,19,FALSE)&lt;&gt;"",VLOOKUP($B89,'Satınalma Takvimi Veri Girişi'!$B$4:$AC$146,19,FALSE),"")</f>
        <v/>
      </c>
      <c r="AI89" s="145" t="str">
        <f>IF(VLOOKUP($B89,'Satınalma Takvimi Veri Girişi'!$B$4:$AC$146,20,FALSE)&lt;&gt;"",VLOOKUP($B89,'Satınalma Takvimi Veri Girişi'!$B$4:$AC$146,20,FALSE),"")</f>
        <v/>
      </c>
      <c r="AJ89" s="144" t="str">
        <f>IF(VLOOKUP($B89,'Satınalma Takvimi Veri Girişi'!$B$4:$AC$146,21,FALSE)&lt;&gt;"",VLOOKUP($B89,'Satınalma Takvimi Veri Girişi'!$B$4:$AC$146,21,FALSE),"")</f>
        <v/>
      </c>
      <c r="AK89" s="146" t="str">
        <f>IF(VLOOKUP($B89,'Satınalma Takvimi Veri Girişi'!$B$4:$AC$146,22,FALSE)&lt;&gt;"",VLOOKUP($B89,'Satınalma Takvimi Veri Girişi'!$B$4:$AC$146,22,FALSE),"")</f>
        <v/>
      </c>
      <c r="AL89" s="147" t="str">
        <f>IF(VLOOKUP($B89,'Satınalma Takvimi Veri Girişi'!$B$4:$AC$146,23,FALSE)&lt;&gt;"",VLOOKUP($B89,'Satınalma Takvimi Veri Girişi'!$B$4:$AC$146,23,FALSE),"")</f>
        <v/>
      </c>
      <c r="AM89" s="147" t="str">
        <f>IF(VLOOKUP($B89,'Satınalma Takvimi Veri Girişi'!$B$4:$AC$146,24,FALSE)&lt;&gt;"",VLOOKUP($B89,'Satınalma Takvimi Veri Girişi'!$B$4:$AC$146,24,FALSE),"")</f>
        <v/>
      </c>
      <c r="AN89" s="147" t="str">
        <f>IF(VLOOKUP($B89,'Satınalma Takvimi Veri Girişi'!$B$4:$AC$146,25,FALSE)&lt;&gt;"",VLOOKUP($B89,'Satınalma Takvimi Veri Girişi'!$B$4:$AC$146,25,FALSE),"")</f>
        <v/>
      </c>
      <c r="AO89" s="147" t="str">
        <f>IF(VLOOKUP($B89,'Satınalma Takvimi Veri Girişi'!$B$4:$AC$146,26,FALSE)&lt;&gt;"",VLOOKUP($B89,'Satınalma Takvimi Veri Girişi'!$B$4:$AC$146,26,FALSE),"")</f>
        <v/>
      </c>
      <c r="AP89" s="147" t="str">
        <f>IF(VLOOKUP($B89,'Satınalma Takvimi Veri Girişi'!$B$4:$AC$146,27,FALSE)&lt;&gt;"",VLOOKUP($B89,'Satınalma Takvimi Veri Girişi'!$B$4:$AC$146,27,FALSE),"")</f>
        <v/>
      </c>
      <c r="AQ89" s="148" t="str">
        <f>IF(VLOOKUP($B89,'Satınalma Takvimi Veri Girişi'!$B$4:$AC$146,28,FALSE)&lt;&gt;"",VLOOKUP($B89,'Satınalma Takvimi Veri Girişi'!$B$4:$AC$146,28,FALSE),"")</f>
        <v/>
      </c>
    </row>
    <row r="90" spans="2:43" ht="19.8" customHeight="1" x14ac:dyDescent="0.3">
      <c r="B90" s="64" t="str">
        <f>Şablon!E89</f>
        <v>IHL.3028.084/1</v>
      </c>
      <c r="C90" s="139" t="str">
        <f>VLOOKUP($B90,Şablon!$E$3:$Q$255,2,FALSE)</f>
        <v>21.05.00 SOSYAL TESİS CAM BÖLME İŞLERİ</v>
      </c>
      <c r="D90" s="161" t="str">
        <f>IF(VLOOKUP($B90,'Satınalma Takvimi Veri Girişi'!$B$4:$AC$146,3,FALSE)&lt;&gt;"",VLOOKUP($B90,'Satınalma Takvimi Veri Girişi'!$B$4:$AC$146,3,FALSE),"")</f>
        <v/>
      </c>
      <c r="E90" s="139" t="str">
        <f>VLOOKUP($B90,Şablon!$E$3:$Q$255,3,FALSE)</f>
        <v>B KATEGORİ</v>
      </c>
      <c r="F90" s="140" t="str">
        <f>VLOOKUP($B90,Şablon!$E$3:$Q$255,4,FALSE)</f>
        <v>İNŞ</v>
      </c>
      <c r="G90" s="141">
        <f>VLOOKUP($B90,Şablon!$E$3:$Q$255,5,FALSE)</f>
        <v>0</v>
      </c>
      <c r="H90" s="142" t="str">
        <f t="shared" si="14"/>
        <v/>
      </c>
      <c r="I90" s="143" t="str">
        <f t="shared" si="15"/>
        <v/>
      </c>
      <c r="J90" s="144" t="str">
        <f>IF(VLOOKUP($B90,'Satınalma Takvimi Veri Girişi'!$B$4:$AC$146,7,FALSE)&lt;&gt;"",VLOOKUP($B90,'Satınalma Takvimi Veri Girişi'!$B$4:$AC$146,7,FALSE),"")</f>
        <v/>
      </c>
      <c r="K90" s="141">
        <f>VLOOKUP($B90,Şablon!$E$3:$Q$255,6,FALSE)</f>
        <v>14</v>
      </c>
      <c r="L90" s="142" t="str">
        <f t="shared" si="16"/>
        <v/>
      </c>
      <c r="M90" s="143" t="str">
        <f t="shared" si="17"/>
        <v/>
      </c>
      <c r="N90" s="144" t="str">
        <f>IF(VLOOKUP($B90,'Satınalma Takvimi Veri Girişi'!$B$4:$AC$146,9,FALSE)&lt;&gt;"",VLOOKUP($B90,'Satınalma Takvimi Veri Girişi'!$B$4:$AC$146,9,FALSE),"")</f>
        <v/>
      </c>
      <c r="O90" s="141">
        <f>VLOOKUP($B90,Şablon!$E$3:$Q$255,7,FALSE)</f>
        <v>7</v>
      </c>
      <c r="P90" s="142" t="str">
        <f t="shared" si="18"/>
        <v/>
      </c>
      <c r="Q90" s="143" t="str">
        <f t="shared" si="19"/>
        <v/>
      </c>
      <c r="R90" s="144" t="str">
        <f>IF(VLOOKUP($B90,'Satınalma Takvimi Veri Girişi'!$B$4:$AC$146,11,FALSE)&lt;&gt;"",VLOOKUP($B90,'Satınalma Takvimi Veri Girişi'!$B$4:$AC$146,11,FALSE),"")</f>
        <v/>
      </c>
      <c r="S90" s="141">
        <f>VLOOKUP($B90,Şablon!$E$3:$Q$255,8,FALSE)</f>
        <v>14</v>
      </c>
      <c r="T90" s="142" t="str">
        <f t="shared" si="20"/>
        <v/>
      </c>
      <c r="U90" s="143" t="str">
        <f t="shared" si="21"/>
        <v/>
      </c>
      <c r="V90" s="144" t="str">
        <f>IF(VLOOKUP($B90,'Satınalma Takvimi Veri Girişi'!$B$4:$AC$146,13,FALSE)&lt;&gt;"",VLOOKUP($B90,'Satınalma Takvimi Veri Girişi'!$B$4:$AC$146,13,FALSE),"")</f>
        <v/>
      </c>
      <c r="W90" s="141">
        <f>VLOOKUP($B90,Şablon!$E$3:$Q$255,9,FALSE)</f>
        <v>7</v>
      </c>
      <c r="X90" s="142" t="str">
        <f t="shared" si="22"/>
        <v/>
      </c>
      <c r="Y90" s="143" t="str">
        <f t="shared" si="23"/>
        <v/>
      </c>
      <c r="Z90" s="144" t="str">
        <f>IF(VLOOKUP($B90,'Satınalma Takvimi Veri Girişi'!$B$4:$AC$146,15,FALSE)&lt;&gt;"",VLOOKUP($B90,'Satınalma Takvimi Veri Girişi'!$B$4:$AC$146,15,FALSE),"")</f>
        <v/>
      </c>
      <c r="AA90" s="141">
        <f>VLOOKUP($B90,Şablon!$E$3:$Q$255,10,FALSE)</f>
        <v>7</v>
      </c>
      <c r="AB90" s="142" t="str">
        <f t="shared" si="24"/>
        <v/>
      </c>
      <c r="AC90" s="143" t="str">
        <f t="shared" si="25"/>
        <v/>
      </c>
      <c r="AD90" s="144" t="str">
        <f>IF(VLOOKUP($B90,'Satınalma Takvimi Veri Girişi'!$B$4:$AC$146,17,FALSE)&lt;&gt;"",VLOOKUP($B90,'Satınalma Takvimi Veri Girişi'!$B$4:$AC$146,17,FALSE),"")</f>
        <v/>
      </c>
      <c r="AE90" s="141">
        <f>(VLOOKUP($B90,Şablon!$E$3:$Q$255,11,FALSE)+VLOOKUP($B90,Şablon!$E$3:$Q$255,12,FALSE))</f>
        <v>52</v>
      </c>
      <c r="AF90" s="142" t="str">
        <f t="shared" si="26"/>
        <v/>
      </c>
      <c r="AG90" s="143" t="str">
        <f t="shared" si="27"/>
        <v/>
      </c>
      <c r="AH90" s="144" t="str">
        <f>IF(VLOOKUP($B90,'Satınalma Takvimi Veri Girişi'!$B$4:$AC$146,19,FALSE)&lt;&gt;"",VLOOKUP($B90,'Satınalma Takvimi Veri Girişi'!$B$4:$AC$146,19,FALSE),"")</f>
        <v/>
      </c>
      <c r="AI90" s="145" t="str">
        <f>IF(VLOOKUP($B90,'Satınalma Takvimi Veri Girişi'!$B$4:$AC$146,20,FALSE)&lt;&gt;"",VLOOKUP($B90,'Satınalma Takvimi Veri Girişi'!$B$4:$AC$146,20,FALSE),"")</f>
        <v/>
      </c>
      <c r="AJ90" s="144" t="str">
        <f>IF(VLOOKUP($B90,'Satınalma Takvimi Veri Girişi'!$B$4:$AC$146,21,FALSE)&lt;&gt;"",VLOOKUP($B90,'Satınalma Takvimi Veri Girişi'!$B$4:$AC$146,21,FALSE),"")</f>
        <v/>
      </c>
      <c r="AK90" s="146" t="str">
        <f>IF(VLOOKUP($B90,'Satınalma Takvimi Veri Girişi'!$B$4:$AC$146,22,FALSE)&lt;&gt;"",VLOOKUP($B90,'Satınalma Takvimi Veri Girişi'!$B$4:$AC$146,22,FALSE),"")</f>
        <v/>
      </c>
      <c r="AL90" s="147" t="str">
        <f>IF(VLOOKUP($B90,'Satınalma Takvimi Veri Girişi'!$B$4:$AC$146,23,FALSE)&lt;&gt;"",VLOOKUP($B90,'Satınalma Takvimi Veri Girişi'!$B$4:$AC$146,23,FALSE),"")</f>
        <v/>
      </c>
      <c r="AM90" s="147" t="str">
        <f>IF(VLOOKUP($B90,'Satınalma Takvimi Veri Girişi'!$B$4:$AC$146,24,FALSE)&lt;&gt;"",VLOOKUP($B90,'Satınalma Takvimi Veri Girişi'!$B$4:$AC$146,24,FALSE),"")</f>
        <v/>
      </c>
      <c r="AN90" s="147" t="str">
        <f>IF(VLOOKUP($B90,'Satınalma Takvimi Veri Girişi'!$B$4:$AC$146,25,FALSE)&lt;&gt;"",VLOOKUP($B90,'Satınalma Takvimi Veri Girişi'!$B$4:$AC$146,25,FALSE),"")</f>
        <v/>
      </c>
      <c r="AO90" s="147" t="str">
        <f>IF(VLOOKUP($B90,'Satınalma Takvimi Veri Girişi'!$B$4:$AC$146,26,FALSE)&lt;&gt;"",VLOOKUP($B90,'Satınalma Takvimi Veri Girişi'!$B$4:$AC$146,26,FALSE),"")</f>
        <v/>
      </c>
      <c r="AP90" s="147" t="str">
        <f>IF(VLOOKUP($B90,'Satınalma Takvimi Veri Girişi'!$B$4:$AC$146,27,FALSE)&lt;&gt;"",VLOOKUP($B90,'Satınalma Takvimi Veri Girişi'!$B$4:$AC$146,27,FALSE),"")</f>
        <v/>
      </c>
      <c r="AQ90" s="148" t="str">
        <f>IF(VLOOKUP($B90,'Satınalma Takvimi Veri Girişi'!$B$4:$AC$146,28,FALSE)&lt;&gt;"",VLOOKUP($B90,'Satınalma Takvimi Veri Girişi'!$B$4:$AC$146,28,FALSE),"")</f>
        <v/>
      </c>
    </row>
    <row r="91" spans="2:43" ht="19.8" customHeight="1" x14ac:dyDescent="0.3">
      <c r="B91" s="64" t="str">
        <f>Şablon!E90</f>
        <v>IHL.3028.085/1</v>
      </c>
      <c r="C91" s="139" t="str">
        <f>VLOOKUP($B91,Şablon!$E$3:$Q$255,2,FALSE)</f>
        <v>17.08.01 CUBİCLE İŞLERİ</v>
      </c>
      <c r="D91" s="161" t="str">
        <f>IF(VLOOKUP($B91,'Satınalma Takvimi Veri Girişi'!$B$4:$AC$146,3,FALSE)&lt;&gt;"",VLOOKUP($B91,'Satınalma Takvimi Veri Girişi'!$B$4:$AC$146,3,FALSE),"")</f>
        <v/>
      </c>
      <c r="E91" s="139" t="str">
        <f>VLOOKUP($B91,Şablon!$E$3:$Q$255,3,FALSE)</f>
        <v>C KATEGORİ</v>
      </c>
      <c r="F91" s="140" t="str">
        <f>VLOOKUP($B91,Şablon!$E$3:$Q$255,4,FALSE)</f>
        <v>İNŞ</v>
      </c>
      <c r="G91" s="141">
        <f>VLOOKUP($B91,Şablon!$E$3:$Q$255,5,FALSE)</f>
        <v>0</v>
      </c>
      <c r="H91" s="142" t="str">
        <f t="shared" si="14"/>
        <v/>
      </c>
      <c r="I91" s="143" t="str">
        <f t="shared" si="15"/>
        <v/>
      </c>
      <c r="J91" s="144" t="str">
        <f>IF(VLOOKUP($B91,'Satınalma Takvimi Veri Girişi'!$B$4:$AC$146,7,FALSE)&lt;&gt;"",VLOOKUP($B91,'Satınalma Takvimi Veri Girişi'!$B$4:$AC$146,7,FALSE),"")</f>
        <v/>
      </c>
      <c r="K91" s="141">
        <f>VLOOKUP($B91,Şablon!$E$3:$Q$255,6,FALSE)</f>
        <v>14</v>
      </c>
      <c r="L91" s="142" t="str">
        <f t="shared" si="16"/>
        <v/>
      </c>
      <c r="M91" s="143" t="str">
        <f t="shared" si="17"/>
        <v/>
      </c>
      <c r="N91" s="144" t="str">
        <f>IF(VLOOKUP($B91,'Satınalma Takvimi Veri Girişi'!$B$4:$AC$146,9,FALSE)&lt;&gt;"",VLOOKUP($B91,'Satınalma Takvimi Veri Girişi'!$B$4:$AC$146,9,FALSE),"")</f>
        <v/>
      </c>
      <c r="O91" s="141">
        <f>VLOOKUP($B91,Şablon!$E$3:$Q$255,7,FALSE)</f>
        <v>7</v>
      </c>
      <c r="P91" s="142" t="str">
        <f t="shared" si="18"/>
        <v/>
      </c>
      <c r="Q91" s="143" t="str">
        <f t="shared" si="19"/>
        <v/>
      </c>
      <c r="R91" s="144" t="str">
        <f>IF(VLOOKUP($B91,'Satınalma Takvimi Veri Girişi'!$B$4:$AC$146,11,FALSE)&lt;&gt;"",VLOOKUP($B91,'Satınalma Takvimi Veri Girişi'!$B$4:$AC$146,11,FALSE),"")</f>
        <v/>
      </c>
      <c r="S91" s="141">
        <f>VLOOKUP($B91,Şablon!$E$3:$Q$255,8,FALSE)</f>
        <v>14</v>
      </c>
      <c r="T91" s="142" t="str">
        <f t="shared" si="20"/>
        <v/>
      </c>
      <c r="U91" s="143" t="str">
        <f t="shared" si="21"/>
        <v/>
      </c>
      <c r="V91" s="144" t="str">
        <f>IF(VLOOKUP($B91,'Satınalma Takvimi Veri Girişi'!$B$4:$AC$146,13,FALSE)&lt;&gt;"",VLOOKUP($B91,'Satınalma Takvimi Veri Girişi'!$B$4:$AC$146,13,FALSE),"")</f>
        <v/>
      </c>
      <c r="W91" s="141">
        <f>VLOOKUP($B91,Şablon!$E$3:$Q$255,9,FALSE)</f>
        <v>7</v>
      </c>
      <c r="X91" s="142" t="str">
        <f t="shared" si="22"/>
        <v/>
      </c>
      <c r="Y91" s="143" t="str">
        <f t="shared" si="23"/>
        <v/>
      </c>
      <c r="Z91" s="144" t="str">
        <f>IF(VLOOKUP($B91,'Satınalma Takvimi Veri Girişi'!$B$4:$AC$146,15,FALSE)&lt;&gt;"",VLOOKUP($B91,'Satınalma Takvimi Veri Girişi'!$B$4:$AC$146,15,FALSE),"")</f>
        <v/>
      </c>
      <c r="AA91" s="141">
        <f>VLOOKUP($B91,Şablon!$E$3:$Q$255,10,FALSE)</f>
        <v>7</v>
      </c>
      <c r="AB91" s="142" t="str">
        <f t="shared" si="24"/>
        <v/>
      </c>
      <c r="AC91" s="143" t="str">
        <f t="shared" si="25"/>
        <v/>
      </c>
      <c r="AD91" s="144" t="str">
        <f>IF(VLOOKUP($B91,'Satınalma Takvimi Veri Girişi'!$B$4:$AC$146,17,FALSE)&lt;&gt;"",VLOOKUP($B91,'Satınalma Takvimi Veri Girişi'!$B$4:$AC$146,17,FALSE),"")</f>
        <v/>
      </c>
      <c r="AE91" s="141">
        <f>(VLOOKUP($B91,Şablon!$E$3:$Q$255,11,FALSE)+VLOOKUP($B91,Şablon!$E$3:$Q$255,12,FALSE))</f>
        <v>35</v>
      </c>
      <c r="AF91" s="142" t="str">
        <f t="shared" si="26"/>
        <v/>
      </c>
      <c r="AG91" s="143" t="str">
        <f t="shared" si="27"/>
        <v/>
      </c>
      <c r="AH91" s="144" t="str">
        <f>IF(VLOOKUP($B91,'Satınalma Takvimi Veri Girişi'!$B$4:$AC$146,19,FALSE)&lt;&gt;"",VLOOKUP($B91,'Satınalma Takvimi Veri Girişi'!$B$4:$AC$146,19,FALSE),"")</f>
        <v/>
      </c>
      <c r="AI91" s="145" t="str">
        <f>IF(VLOOKUP($B91,'Satınalma Takvimi Veri Girişi'!$B$4:$AC$146,20,FALSE)&lt;&gt;"",VLOOKUP($B91,'Satınalma Takvimi Veri Girişi'!$B$4:$AC$146,20,FALSE),"")</f>
        <v/>
      </c>
      <c r="AJ91" s="144" t="str">
        <f>IF(VLOOKUP($B91,'Satınalma Takvimi Veri Girişi'!$B$4:$AC$146,21,FALSE)&lt;&gt;"",VLOOKUP($B91,'Satınalma Takvimi Veri Girişi'!$B$4:$AC$146,21,FALSE),"")</f>
        <v/>
      </c>
      <c r="AK91" s="146" t="str">
        <f>IF(VLOOKUP($B91,'Satınalma Takvimi Veri Girişi'!$B$4:$AC$146,22,FALSE)&lt;&gt;"",VLOOKUP($B91,'Satınalma Takvimi Veri Girişi'!$B$4:$AC$146,22,FALSE),"")</f>
        <v/>
      </c>
      <c r="AL91" s="147" t="str">
        <f>IF(VLOOKUP($B91,'Satınalma Takvimi Veri Girişi'!$B$4:$AC$146,23,FALSE)&lt;&gt;"",VLOOKUP($B91,'Satınalma Takvimi Veri Girişi'!$B$4:$AC$146,23,FALSE),"")</f>
        <v/>
      </c>
      <c r="AM91" s="147" t="str">
        <f>IF(VLOOKUP($B91,'Satınalma Takvimi Veri Girişi'!$B$4:$AC$146,24,FALSE)&lt;&gt;"",VLOOKUP($B91,'Satınalma Takvimi Veri Girişi'!$B$4:$AC$146,24,FALSE),"")</f>
        <v/>
      </c>
      <c r="AN91" s="147" t="str">
        <f>IF(VLOOKUP($B91,'Satınalma Takvimi Veri Girişi'!$B$4:$AC$146,25,FALSE)&lt;&gt;"",VLOOKUP($B91,'Satınalma Takvimi Veri Girişi'!$B$4:$AC$146,25,FALSE),"")</f>
        <v/>
      </c>
      <c r="AO91" s="147" t="str">
        <f>IF(VLOOKUP($B91,'Satınalma Takvimi Veri Girişi'!$B$4:$AC$146,26,FALSE)&lt;&gt;"",VLOOKUP($B91,'Satınalma Takvimi Veri Girişi'!$B$4:$AC$146,26,FALSE),"")</f>
        <v/>
      </c>
      <c r="AP91" s="147" t="str">
        <f>IF(VLOOKUP($B91,'Satınalma Takvimi Veri Girişi'!$B$4:$AC$146,27,FALSE)&lt;&gt;"",VLOOKUP($B91,'Satınalma Takvimi Veri Girişi'!$B$4:$AC$146,27,FALSE),"")</f>
        <v/>
      </c>
      <c r="AQ91" s="148" t="str">
        <f>IF(VLOOKUP($B91,'Satınalma Takvimi Veri Girişi'!$B$4:$AC$146,28,FALSE)&lt;&gt;"",VLOOKUP($B91,'Satınalma Takvimi Veri Girişi'!$B$4:$AC$146,28,FALSE),"")</f>
        <v/>
      </c>
    </row>
    <row r="92" spans="2:43" ht="19.8" customHeight="1" x14ac:dyDescent="0.3">
      <c r="B92" s="64" t="str">
        <f>Şablon!E91</f>
        <v>IHL.3028.086/1</v>
      </c>
      <c r="C92" s="139" t="str">
        <f>VLOOKUP($B92,Şablon!$E$3:$Q$255,2,FALSE)</f>
        <v>21.03.00 DÖNER KAPI</v>
      </c>
      <c r="D92" s="161" t="str">
        <f>IF(VLOOKUP($B92,'Satınalma Takvimi Veri Girişi'!$B$4:$AC$146,3,FALSE)&lt;&gt;"",VLOOKUP($B92,'Satınalma Takvimi Veri Girişi'!$B$4:$AC$146,3,FALSE),"")</f>
        <v/>
      </c>
      <c r="E92" s="139" t="str">
        <f>VLOOKUP($B92,Şablon!$E$3:$Q$255,3,FALSE)</f>
        <v>B KATEGORİ</v>
      </c>
      <c r="F92" s="140" t="str">
        <f>VLOOKUP($B92,Şablon!$E$3:$Q$255,4,FALSE)</f>
        <v>İNŞ</v>
      </c>
      <c r="G92" s="141">
        <f>VLOOKUP($B92,Şablon!$E$3:$Q$255,5,FALSE)</f>
        <v>0</v>
      </c>
      <c r="H92" s="142" t="str">
        <f t="shared" si="14"/>
        <v/>
      </c>
      <c r="I92" s="143" t="str">
        <f t="shared" si="15"/>
        <v/>
      </c>
      <c r="J92" s="144" t="str">
        <f>IF(VLOOKUP($B92,'Satınalma Takvimi Veri Girişi'!$B$4:$AC$146,7,FALSE)&lt;&gt;"",VLOOKUP($B92,'Satınalma Takvimi Veri Girişi'!$B$4:$AC$146,7,FALSE),"")</f>
        <v/>
      </c>
      <c r="K92" s="141">
        <f>VLOOKUP($B92,Şablon!$E$3:$Q$255,6,FALSE)</f>
        <v>14</v>
      </c>
      <c r="L92" s="142" t="str">
        <f t="shared" si="16"/>
        <v/>
      </c>
      <c r="M92" s="143" t="str">
        <f t="shared" si="17"/>
        <v/>
      </c>
      <c r="N92" s="144" t="str">
        <f>IF(VLOOKUP($B92,'Satınalma Takvimi Veri Girişi'!$B$4:$AC$146,9,FALSE)&lt;&gt;"",VLOOKUP($B92,'Satınalma Takvimi Veri Girişi'!$B$4:$AC$146,9,FALSE),"")</f>
        <v/>
      </c>
      <c r="O92" s="141">
        <f>VLOOKUP($B92,Şablon!$E$3:$Q$255,7,FALSE)</f>
        <v>7</v>
      </c>
      <c r="P92" s="142" t="str">
        <f t="shared" si="18"/>
        <v/>
      </c>
      <c r="Q92" s="143" t="str">
        <f t="shared" si="19"/>
        <v/>
      </c>
      <c r="R92" s="144" t="str">
        <f>IF(VLOOKUP($B92,'Satınalma Takvimi Veri Girişi'!$B$4:$AC$146,11,FALSE)&lt;&gt;"",VLOOKUP($B92,'Satınalma Takvimi Veri Girişi'!$B$4:$AC$146,11,FALSE),"")</f>
        <v/>
      </c>
      <c r="S92" s="141">
        <f>VLOOKUP($B92,Şablon!$E$3:$Q$255,8,FALSE)</f>
        <v>21</v>
      </c>
      <c r="T92" s="142" t="str">
        <f t="shared" si="20"/>
        <v/>
      </c>
      <c r="U92" s="143" t="str">
        <f t="shared" si="21"/>
        <v/>
      </c>
      <c r="V92" s="144" t="str">
        <f>IF(VLOOKUP($B92,'Satınalma Takvimi Veri Girişi'!$B$4:$AC$146,13,FALSE)&lt;&gt;"",VLOOKUP($B92,'Satınalma Takvimi Veri Girişi'!$B$4:$AC$146,13,FALSE),"")</f>
        <v/>
      </c>
      <c r="W92" s="141">
        <f>VLOOKUP($B92,Şablon!$E$3:$Q$255,9,FALSE)</f>
        <v>7</v>
      </c>
      <c r="X92" s="142" t="str">
        <f t="shared" si="22"/>
        <v/>
      </c>
      <c r="Y92" s="143" t="str">
        <f t="shared" si="23"/>
        <v/>
      </c>
      <c r="Z92" s="144" t="str">
        <f>IF(VLOOKUP($B92,'Satınalma Takvimi Veri Girişi'!$B$4:$AC$146,15,FALSE)&lt;&gt;"",VLOOKUP($B92,'Satınalma Takvimi Veri Girişi'!$B$4:$AC$146,15,FALSE),"")</f>
        <v/>
      </c>
      <c r="AA92" s="141">
        <f>VLOOKUP($B92,Şablon!$E$3:$Q$255,10,FALSE)</f>
        <v>14</v>
      </c>
      <c r="AB92" s="142" t="str">
        <f t="shared" si="24"/>
        <v/>
      </c>
      <c r="AC92" s="143" t="str">
        <f t="shared" si="25"/>
        <v/>
      </c>
      <c r="AD92" s="144" t="str">
        <f>IF(VLOOKUP($B92,'Satınalma Takvimi Veri Girişi'!$B$4:$AC$146,17,FALSE)&lt;&gt;"",VLOOKUP($B92,'Satınalma Takvimi Veri Girişi'!$B$4:$AC$146,17,FALSE),"")</f>
        <v/>
      </c>
      <c r="AE92" s="141">
        <f>(VLOOKUP($B92,Şablon!$E$3:$Q$255,11,FALSE)+VLOOKUP($B92,Şablon!$E$3:$Q$255,12,FALSE))</f>
        <v>97</v>
      </c>
      <c r="AF92" s="142" t="str">
        <f t="shared" si="26"/>
        <v/>
      </c>
      <c r="AG92" s="143" t="str">
        <f t="shared" si="27"/>
        <v/>
      </c>
      <c r="AH92" s="144" t="str">
        <f>IF(VLOOKUP($B92,'Satınalma Takvimi Veri Girişi'!$B$4:$AC$146,19,FALSE)&lt;&gt;"",VLOOKUP($B92,'Satınalma Takvimi Veri Girişi'!$B$4:$AC$146,19,FALSE),"")</f>
        <v/>
      </c>
      <c r="AI92" s="145" t="str">
        <f>IF(VLOOKUP($B92,'Satınalma Takvimi Veri Girişi'!$B$4:$AC$146,20,FALSE)&lt;&gt;"",VLOOKUP($B92,'Satınalma Takvimi Veri Girişi'!$B$4:$AC$146,20,FALSE),"")</f>
        <v/>
      </c>
      <c r="AJ92" s="144" t="str">
        <f>IF(VLOOKUP($B92,'Satınalma Takvimi Veri Girişi'!$B$4:$AC$146,21,FALSE)&lt;&gt;"",VLOOKUP($B92,'Satınalma Takvimi Veri Girişi'!$B$4:$AC$146,21,FALSE),"")</f>
        <v/>
      </c>
      <c r="AK92" s="146" t="str">
        <f>IF(VLOOKUP($B92,'Satınalma Takvimi Veri Girişi'!$B$4:$AC$146,22,FALSE)&lt;&gt;"",VLOOKUP($B92,'Satınalma Takvimi Veri Girişi'!$B$4:$AC$146,22,FALSE),"")</f>
        <v/>
      </c>
      <c r="AL92" s="147" t="str">
        <f>IF(VLOOKUP($B92,'Satınalma Takvimi Veri Girişi'!$B$4:$AC$146,23,FALSE)&lt;&gt;"",VLOOKUP($B92,'Satınalma Takvimi Veri Girişi'!$B$4:$AC$146,23,FALSE),"")</f>
        <v/>
      </c>
      <c r="AM92" s="147" t="str">
        <f>IF(VLOOKUP($B92,'Satınalma Takvimi Veri Girişi'!$B$4:$AC$146,24,FALSE)&lt;&gt;"",VLOOKUP($B92,'Satınalma Takvimi Veri Girişi'!$B$4:$AC$146,24,FALSE),"")</f>
        <v/>
      </c>
      <c r="AN92" s="147" t="str">
        <f>IF(VLOOKUP($B92,'Satınalma Takvimi Veri Girişi'!$B$4:$AC$146,25,FALSE)&lt;&gt;"",VLOOKUP($B92,'Satınalma Takvimi Veri Girişi'!$B$4:$AC$146,25,FALSE),"")</f>
        <v/>
      </c>
      <c r="AO92" s="147" t="str">
        <f>IF(VLOOKUP($B92,'Satınalma Takvimi Veri Girişi'!$B$4:$AC$146,26,FALSE)&lt;&gt;"",VLOOKUP($B92,'Satınalma Takvimi Veri Girişi'!$B$4:$AC$146,26,FALSE),"")</f>
        <v/>
      </c>
      <c r="AP92" s="147" t="str">
        <f>IF(VLOOKUP($B92,'Satınalma Takvimi Veri Girişi'!$B$4:$AC$146,27,FALSE)&lt;&gt;"",VLOOKUP($B92,'Satınalma Takvimi Veri Girişi'!$B$4:$AC$146,27,FALSE),"")</f>
        <v/>
      </c>
      <c r="AQ92" s="148" t="str">
        <f>IF(VLOOKUP($B92,'Satınalma Takvimi Veri Girişi'!$B$4:$AC$146,28,FALSE)&lt;&gt;"",VLOOKUP($B92,'Satınalma Takvimi Veri Girişi'!$B$4:$AC$146,28,FALSE),"")</f>
        <v/>
      </c>
    </row>
    <row r="93" spans="2:43" ht="19.8" customHeight="1" x14ac:dyDescent="0.3">
      <c r="B93" s="64" t="str">
        <f>Şablon!E92</f>
        <v>IHL.3028.087/1</v>
      </c>
      <c r="C93" s="139" t="str">
        <f>VLOOKUP($B93,Şablon!$E$3:$Q$255,2,FALSE)</f>
        <v>21.03.01 FOTOSELLİ KAPI</v>
      </c>
      <c r="D93" s="161" t="str">
        <f>IF(VLOOKUP($B93,'Satınalma Takvimi Veri Girişi'!$B$4:$AC$146,3,FALSE)&lt;&gt;"",VLOOKUP($B93,'Satınalma Takvimi Veri Girişi'!$B$4:$AC$146,3,FALSE),"")</f>
        <v/>
      </c>
      <c r="E93" s="139" t="str">
        <f>VLOOKUP($B93,Şablon!$E$3:$Q$255,3,FALSE)</f>
        <v>B KATEGORİ</v>
      </c>
      <c r="F93" s="140" t="str">
        <f>VLOOKUP($B93,Şablon!$E$3:$Q$255,4,FALSE)</f>
        <v>İNŞ</v>
      </c>
      <c r="G93" s="141">
        <f>VLOOKUP($B93,Şablon!$E$3:$Q$255,5,FALSE)</f>
        <v>0</v>
      </c>
      <c r="H93" s="142" t="str">
        <f t="shared" si="14"/>
        <v/>
      </c>
      <c r="I93" s="143" t="str">
        <f t="shared" si="15"/>
        <v/>
      </c>
      <c r="J93" s="144" t="str">
        <f>IF(VLOOKUP($B93,'Satınalma Takvimi Veri Girişi'!$B$4:$AC$146,7,FALSE)&lt;&gt;"",VLOOKUP($B93,'Satınalma Takvimi Veri Girişi'!$B$4:$AC$146,7,FALSE),"")</f>
        <v/>
      </c>
      <c r="K93" s="141">
        <f>VLOOKUP($B93,Şablon!$E$3:$Q$255,6,FALSE)</f>
        <v>14</v>
      </c>
      <c r="L93" s="142" t="str">
        <f t="shared" si="16"/>
        <v/>
      </c>
      <c r="M93" s="143" t="str">
        <f t="shared" si="17"/>
        <v/>
      </c>
      <c r="N93" s="144" t="str">
        <f>IF(VLOOKUP($B93,'Satınalma Takvimi Veri Girişi'!$B$4:$AC$146,9,FALSE)&lt;&gt;"",VLOOKUP($B93,'Satınalma Takvimi Veri Girişi'!$B$4:$AC$146,9,FALSE),"")</f>
        <v/>
      </c>
      <c r="O93" s="141">
        <f>VLOOKUP($B93,Şablon!$E$3:$Q$255,7,FALSE)</f>
        <v>7</v>
      </c>
      <c r="P93" s="142" t="str">
        <f t="shared" si="18"/>
        <v/>
      </c>
      <c r="Q93" s="143" t="str">
        <f t="shared" si="19"/>
        <v/>
      </c>
      <c r="R93" s="144" t="str">
        <f>IF(VLOOKUP($B93,'Satınalma Takvimi Veri Girişi'!$B$4:$AC$146,11,FALSE)&lt;&gt;"",VLOOKUP($B93,'Satınalma Takvimi Veri Girişi'!$B$4:$AC$146,11,FALSE),"")</f>
        <v/>
      </c>
      <c r="S93" s="141">
        <f>VLOOKUP($B93,Şablon!$E$3:$Q$255,8,FALSE)</f>
        <v>21</v>
      </c>
      <c r="T93" s="142" t="str">
        <f t="shared" si="20"/>
        <v/>
      </c>
      <c r="U93" s="143" t="str">
        <f t="shared" si="21"/>
        <v/>
      </c>
      <c r="V93" s="144" t="str">
        <f>IF(VLOOKUP($B93,'Satınalma Takvimi Veri Girişi'!$B$4:$AC$146,13,FALSE)&lt;&gt;"",VLOOKUP($B93,'Satınalma Takvimi Veri Girişi'!$B$4:$AC$146,13,FALSE),"")</f>
        <v/>
      </c>
      <c r="W93" s="141">
        <f>VLOOKUP($B93,Şablon!$E$3:$Q$255,9,FALSE)</f>
        <v>7</v>
      </c>
      <c r="X93" s="142" t="str">
        <f t="shared" si="22"/>
        <v/>
      </c>
      <c r="Y93" s="143" t="str">
        <f t="shared" si="23"/>
        <v/>
      </c>
      <c r="Z93" s="144" t="str">
        <f>IF(VLOOKUP($B93,'Satınalma Takvimi Veri Girişi'!$B$4:$AC$146,15,FALSE)&lt;&gt;"",VLOOKUP($B93,'Satınalma Takvimi Veri Girişi'!$B$4:$AC$146,15,FALSE),"")</f>
        <v/>
      </c>
      <c r="AA93" s="141">
        <f>VLOOKUP($B93,Şablon!$E$3:$Q$255,10,FALSE)</f>
        <v>14</v>
      </c>
      <c r="AB93" s="142" t="str">
        <f t="shared" si="24"/>
        <v/>
      </c>
      <c r="AC93" s="143" t="str">
        <f t="shared" si="25"/>
        <v/>
      </c>
      <c r="AD93" s="144" t="str">
        <f>IF(VLOOKUP($B93,'Satınalma Takvimi Veri Girişi'!$B$4:$AC$146,17,FALSE)&lt;&gt;"",VLOOKUP($B93,'Satınalma Takvimi Veri Girişi'!$B$4:$AC$146,17,FALSE),"")</f>
        <v/>
      </c>
      <c r="AE93" s="141">
        <f>(VLOOKUP($B93,Şablon!$E$3:$Q$255,11,FALSE)+VLOOKUP($B93,Şablon!$E$3:$Q$255,12,FALSE))</f>
        <v>97</v>
      </c>
      <c r="AF93" s="142" t="str">
        <f t="shared" si="26"/>
        <v/>
      </c>
      <c r="AG93" s="143" t="str">
        <f t="shared" si="27"/>
        <v/>
      </c>
      <c r="AH93" s="144" t="str">
        <f>IF(VLOOKUP($B93,'Satınalma Takvimi Veri Girişi'!$B$4:$AC$146,19,FALSE)&lt;&gt;"",VLOOKUP($B93,'Satınalma Takvimi Veri Girişi'!$B$4:$AC$146,19,FALSE),"")</f>
        <v/>
      </c>
      <c r="AI93" s="145" t="str">
        <f>IF(VLOOKUP($B93,'Satınalma Takvimi Veri Girişi'!$B$4:$AC$146,20,FALSE)&lt;&gt;"",VLOOKUP($B93,'Satınalma Takvimi Veri Girişi'!$B$4:$AC$146,20,FALSE),"")</f>
        <v/>
      </c>
      <c r="AJ93" s="144" t="str">
        <f>IF(VLOOKUP($B93,'Satınalma Takvimi Veri Girişi'!$B$4:$AC$146,21,FALSE)&lt;&gt;"",VLOOKUP($B93,'Satınalma Takvimi Veri Girişi'!$B$4:$AC$146,21,FALSE),"")</f>
        <v/>
      </c>
      <c r="AK93" s="146" t="str">
        <f>IF(VLOOKUP($B93,'Satınalma Takvimi Veri Girişi'!$B$4:$AC$146,22,FALSE)&lt;&gt;"",VLOOKUP($B93,'Satınalma Takvimi Veri Girişi'!$B$4:$AC$146,22,FALSE),"")</f>
        <v/>
      </c>
      <c r="AL93" s="147" t="str">
        <f>IF(VLOOKUP($B93,'Satınalma Takvimi Veri Girişi'!$B$4:$AC$146,23,FALSE)&lt;&gt;"",VLOOKUP($B93,'Satınalma Takvimi Veri Girişi'!$B$4:$AC$146,23,FALSE),"")</f>
        <v/>
      </c>
      <c r="AM93" s="147" t="str">
        <f>IF(VLOOKUP($B93,'Satınalma Takvimi Veri Girişi'!$B$4:$AC$146,24,FALSE)&lt;&gt;"",VLOOKUP($B93,'Satınalma Takvimi Veri Girişi'!$B$4:$AC$146,24,FALSE),"")</f>
        <v/>
      </c>
      <c r="AN93" s="147" t="str">
        <f>IF(VLOOKUP($B93,'Satınalma Takvimi Veri Girişi'!$B$4:$AC$146,25,FALSE)&lt;&gt;"",VLOOKUP($B93,'Satınalma Takvimi Veri Girişi'!$B$4:$AC$146,25,FALSE),"")</f>
        <v/>
      </c>
      <c r="AO93" s="147" t="str">
        <f>IF(VLOOKUP($B93,'Satınalma Takvimi Veri Girişi'!$B$4:$AC$146,26,FALSE)&lt;&gt;"",VLOOKUP($B93,'Satınalma Takvimi Veri Girişi'!$B$4:$AC$146,26,FALSE),"")</f>
        <v/>
      </c>
      <c r="AP93" s="147" t="str">
        <f>IF(VLOOKUP($B93,'Satınalma Takvimi Veri Girişi'!$B$4:$AC$146,27,FALSE)&lt;&gt;"",VLOOKUP($B93,'Satınalma Takvimi Veri Girişi'!$B$4:$AC$146,27,FALSE),"")</f>
        <v/>
      </c>
      <c r="AQ93" s="148" t="str">
        <f>IF(VLOOKUP($B93,'Satınalma Takvimi Veri Girişi'!$B$4:$AC$146,28,FALSE)&lt;&gt;"",VLOOKUP($B93,'Satınalma Takvimi Veri Girişi'!$B$4:$AC$146,28,FALSE),"")</f>
        <v/>
      </c>
    </row>
    <row r="94" spans="2:43" ht="19.8" customHeight="1" x14ac:dyDescent="0.3">
      <c r="B94" s="64" t="str">
        <f>Şablon!E93</f>
        <v>IHL.3028.088/1</v>
      </c>
      <c r="C94" s="139" t="str">
        <f>VLOOKUP($B94,Şablon!$E$3:$Q$255,2,FALSE)</f>
        <v xml:space="preserve">25.06.01 LOBİ SABİT MOBİLYA </v>
      </c>
      <c r="D94" s="161" t="str">
        <f>IF(VLOOKUP($B94,'Satınalma Takvimi Veri Girişi'!$B$4:$AC$146,3,FALSE)&lt;&gt;"",VLOOKUP($B94,'Satınalma Takvimi Veri Girişi'!$B$4:$AC$146,3,FALSE),"")</f>
        <v/>
      </c>
      <c r="E94" s="139" t="str">
        <f>VLOOKUP($B94,Şablon!$E$3:$Q$255,3,FALSE)</f>
        <v>B KATEGORİ</v>
      </c>
      <c r="F94" s="140" t="str">
        <f>VLOOKUP($B94,Şablon!$E$3:$Q$255,4,FALSE)</f>
        <v>İNŞ</v>
      </c>
      <c r="G94" s="141">
        <f>VLOOKUP($B94,Şablon!$E$3:$Q$255,5,FALSE)</f>
        <v>0</v>
      </c>
      <c r="H94" s="142" t="str">
        <f t="shared" si="14"/>
        <v/>
      </c>
      <c r="I94" s="143" t="str">
        <f t="shared" si="15"/>
        <v/>
      </c>
      <c r="J94" s="144" t="str">
        <f>IF(VLOOKUP($B94,'Satınalma Takvimi Veri Girişi'!$B$4:$AC$146,7,FALSE)&lt;&gt;"",VLOOKUP($B94,'Satınalma Takvimi Veri Girişi'!$B$4:$AC$146,7,FALSE),"")</f>
        <v/>
      </c>
      <c r="K94" s="141">
        <f>VLOOKUP($B94,Şablon!$E$3:$Q$255,6,FALSE)</f>
        <v>14</v>
      </c>
      <c r="L94" s="142" t="str">
        <f t="shared" si="16"/>
        <v/>
      </c>
      <c r="M94" s="143" t="str">
        <f t="shared" si="17"/>
        <v/>
      </c>
      <c r="N94" s="144" t="str">
        <f>IF(VLOOKUP($B94,'Satınalma Takvimi Veri Girişi'!$B$4:$AC$146,9,FALSE)&lt;&gt;"",VLOOKUP($B94,'Satınalma Takvimi Veri Girişi'!$B$4:$AC$146,9,FALSE),"")</f>
        <v/>
      </c>
      <c r="O94" s="141">
        <f>VLOOKUP($B94,Şablon!$E$3:$Q$255,7,FALSE)</f>
        <v>14</v>
      </c>
      <c r="P94" s="142" t="str">
        <f t="shared" si="18"/>
        <v/>
      </c>
      <c r="Q94" s="143" t="str">
        <f t="shared" si="19"/>
        <v/>
      </c>
      <c r="R94" s="144" t="str">
        <f>IF(VLOOKUP($B94,'Satınalma Takvimi Veri Girişi'!$B$4:$AC$146,11,FALSE)&lt;&gt;"",VLOOKUP($B94,'Satınalma Takvimi Veri Girişi'!$B$4:$AC$146,11,FALSE),"")</f>
        <v/>
      </c>
      <c r="S94" s="141">
        <f>VLOOKUP($B94,Şablon!$E$3:$Q$255,8,FALSE)</f>
        <v>21</v>
      </c>
      <c r="T94" s="142" t="str">
        <f t="shared" si="20"/>
        <v/>
      </c>
      <c r="U94" s="143" t="str">
        <f t="shared" si="21"/>
        <v/>
      </c>
      <c r="V94" s="144" t="str">
        <f>IF(VLOOKUP($B94,'Satınalma Takvimi Veri Girişi'!$B$4:$AC$146,13,FALSE)&lt;&gt;"",VLOOKUP($B94,'Satınalma Takvimi Veri Girişi'!$B$4:$AC$146,13,FALSE),"")</f>
        <v/>
      </c>
      <c r="W94" s="141">
        <f>VLOOKUP($B94,Şablon!$E$3:$Q$255,9,FALSE)</f>
        <v>7</v>
      </c>
      <c r="X94" s="142" t="str">
        <f t="shared" si="22"/>
        <v/>
      </c>
      <c r="Y94" s="143" t="str">
        <f t="shared" si="23"/>
        <v/>
      </c>
      <c r="Z94" s="144" t="str">
        <f>IF(VLOOKUP($B94,'Satınalma Takvimi Veri Girişi'!$B$4:$AC$146,15,FALSE)&lt;&gt;"",VLOOKUP($B94,'Satınalma Takvimi Veri Girişi'!$B$4:$AC$146,15,FALSE),"")</f>
        <v/>
      </c>
      <c r="AA94" s="141">
        <f>VLOOKUP($B94,Şablon!$E$3:$Q$255,10,FALSE)</f>
        <v>7</v>
      </c>
      <c r="AB94" s="142" t="str">
        <f t="shared" si="24"/>
        <v/>
      </c>
      <c r="AC94" s="143" t="str">
        <f t="shared" si="25"/>
        <v/>
      </c>
      <c r="AD94" s="144" t="str">
        <f>IF(VLOOKUP($B94,'Satınalma Takvimi Veri Girişi'!$B$4:$AC$146,17,FALSE)&lt;&gt;"",VLOOKUP($B94,'Satınalma Takvimi Veri Girişi'!$B$4:$AC$146,17,FALSE),"")</f>
        <v/>
      </c>
      <c r="AE94" s="141">
        <f>(VLOOKUP($B94,Şablon!$E$3:$Q$255,11,FALSE)+VLOOKUP($B94,Şablon!$E$3:$Q$255,12,FALSE))</f>
        <v>74</v>
      </c>
      <c r="AF94" s="142" t="str">
        <f t="shared" si="26"/>
        <v/>
      </c>
      <c r="AG94" s="143" t="str">
        <f t="shared" si="27"/>
        <v/>
      </c>
      <c r="AH94" s="144" t="str">
        <f>IF(VLOOKUP($B94,'Satınalma Takvimi Veri Girişi'!$B$4:$AC$146,19,FALSE)&lt;&gt;"",VLOOKUP($B94,'Satınalma Takvimi Veri Girişi'!$B$4:$AC$146,19,FALSE),"")</f>
        <v/>
      </c>
      <c r="AI94" s="145" t="str">
        <f>IF(VLOOKUP($B94,'Satınalma Takvimi Veri Girişi'!$B$4:$AC$146,20,FALSE)&lt;&gt;"",VLOOKUP($B94,'Satınalma Takvimi Veri Girişi'!$B$4:$AC$146,20,FALSE),"")</f>
        <v/>
      </c>
      <c r="AJ94" s="144" t="str">
        <f>IF(VLOOKUP($B94,'Satınalma Takvimi Veri Girişi'!$B$4:$AC$146,21,FALSE)&lt;&gt;"",VLOOKUP($B94,'Satınalma Takvimi Veri Girişi'!$B$4:$AC$146,21,FALSE),"")</f>
        <v/>
      </c>
      <c r="AK94" s="146" t="str">
        <f>IF(VLOOKUP($B94,'Satınalma Takvimi Veri Girişi'!$B$4:$AC$146,22,FALSE)&lt;&gt;"",VLOOKUP($B94,'Satınalma Takvimi Veri Girişi'!$B$4:$AC$146,22,FALSE),"")</f>
        <v/>
      </c>
      <c r="AL94" s="147" t="str">
        <f>IF(VLOOKUP($B94,'Satınalma Takvimi Veri Girişi'!$B$4:$AC$146,23,FALSE)&lt;&gt;"",VLOOKUP($B94,'Satınalma Takvimi Veri Girişi'!$B$4:$AC$146,23,FALSE),"")</f>
        <v/>
      </c>
      <c r="AM94" s="147" t="str">
        <f>IF(VLOOKUP($B94,'Satınalma Takvimi Veri Girişi'!$B$4:$AC$146,24,FALSE)&lt;&gt;"",VLOOKUP($B94,'Satınalma Takvimi Veri Girişi'!$B$4:$AC$146,24,FALSE),"")</f>
        <v/>
      </c>
      <c r="AN94" s="147" t="str">
        <f>IF(VLOOKUP($B94,'Satınalma Takvimi Veri Girişi'!$B$4:$AC$146,25,FALSE)&lt;&gt;"",VLOOKUP($B94,'Satınalma Takvimi Veri Girişi'!$B$4:$AC$146,25,FALSE),"")</f>
        <v/>
      </c>
      <c r="AO94" s="147" t="str">
        <f>IF(VLOOKUP($B94,'Satınalma Takvimi Veri Girişi'!$B$4:$AC$146,26,FALSE)&lt;&gt;"",VLOOKUP($B94,'Satınalma Takvimi Veri Girişi'!$B$4:$AC$146,26,FALSE),"")</f>
        <v/>
      </c>
      <c r="AP94" s="147" t="str">
        <f>IF(VLOOKUP($B94,'Satınalma Takvimi Veri Girişi'!$B$4:$AC$146,27,FALSE)&lt;&gt;"",VLOOKUP($B94,'Satınalma Takvimi Veri Girişi'!$B$4:$AC$146,27,FALSE),"")</f>
        <v/>
      </c>
      <c r="AQ94" s="148" t="str">
        <f>IF(VLOOKUP($B94,'Satınalma Takvimi Veri Girişi'!$B$4:$AC$146,28,FALSE)&lt;&gt;"",VLOOKUP($B94,'Satınalma Takvimi Veri Girişi'!$B$4:$AC$146,28,FALSE),"")</f>
        <v/>
      </c>
    </row>
    <row r="95" spans="2:43" ht="19.8" customHeight="1" x14ac:dyDescent="0.3">
      <c r="B95" s="64" t="str">
        <f>Şablon!E94</f>
        <v>IHL.3028.089/1</v>
      </c>
      <c r="C95" s="139" t="str">
        <f>VLOOKUP($B95,Şablon!$E$3:$Q$255,2,FALSE)</f>
        <v xml:space="preserve">25.06.00 SOSYAL TESİS SABİT MOBİLYA </v>
      </c>
      <c r="D95" s="161" t="str">
        <f>IF(VLOOKUP($B95,'Satınalma Takvimi Veri Girişi'!$B$4:$AC$146,3,FALSE)&lt;&gt;"",VLOOKUP($B95,'Satınalma Takvimi Veri Girişi'!$B$4:$AC$146,3,FALSE),"")</f>
        <v/>
      </c>
      <c r="E95" s="139" t="str">
        <f>VLOOKUP($B95,Şablon!$E$3:$Q$255,3,FALSE)</f>
        <v>B KATEGORİ</v>
      </c>
      <c r="F95" s="140" t="str">
        <f>VLOOKUP($B95,Şablon!$E$3:$Q$255,4,FALSE)</f>
        <v>İNŞ</v>
      </c>
      <c r="G95" s="141">
        <f>VLOOKUP($B95,Şablon!$E$3:$Q$255,5,FALSE)</f>
        <v>0</v>
      </c>
      <c r="H95" s="142" t="str">
        <f t="shared" si="14"/>
        <v/>
      </c>
      <c r="I95" s="143" t="str">
        <f t="shared" si="15"/>
        <v/>
      </c>
      <c r="J95" s="144" t="str">
        <f>IF(VLOOKUP($B95,'Satınalma Takvimi Veri Girişi'!$B$4:$AC$146,7,FALSE)&lt;&gt;"",VLOOKUP($B95,'Satınalma Takvimi Veri Girişi'!$B$4:$AC$146,7,FALSE),"")</f>
        <v/>
      </c>
      <c r="K95" s="141">
        <f>VLOOKUP($B95,Şablon!$E$3:$Q$255,6,FALSE)</f>
        <v>14</v>
      </c>
      <c r="L95" s="142" t="str">
        <f t="shared" si="16"/>
        <v/>
      </c>
      <c r="M95" s="143" t="str">
        <f t="shared" si="17"/>
        <v/>
      </c>
      <c r="N95" s="144" t="str">
        <f>IF(VLOOKUP($B95,'Satınalma Takvimi Veri Girişi'!$B$4:$AC$146,9,FALSE)&lt;&gt;"",VLOOKUP($B95,'Satınalma Takvimi Veri Girişi'!$B$4:$AC$146,9,FALSE),"")</f>
        <v/>
      </c>
      <c r="O95" s="141">
        <f>VLOOKUP($B95,Şablon!$E$3:$Q$255,7,FALSE)</f>
        <v>14</v>
      </c>
      <c r="P95" s="142" t="str">
        <f t="shared" si="18"/>
        <v/>
      </c>
      <c r="Q95" s="143" t="str">
        <f t="shared" si="19"/>
        <v/>
      </c>
      <c r="R95" s="144" t="str">
        <f>IF(VLOOKUP($B95,'Satınalma Takvimi Veri Girişi'!$B$4:$AC$146,11,FALSE)&lt;&gt;"",VLOOKUP($B95,'Satınalma Takvimi Veri Girişi'!$B$4:$AC$146,11,FALSE),"")</f>
        <v/>
      </c>
      <c r="S95" s="141">
        <f>VLOOKUP($B95,Şablon!$E$3:$Q$255,8,FALSE)</f>
        <v>21</v>
      </c>
      <c r="T95" s="142" t="str">
        <f t="shared" si="20"/>
        <v/>
      </c>
      <c r="U95" s="143" t="str">
        <f t="shared" si="21"/>
        <v/>
      </c>
      <c r="V95" s="144" t="str">
        <f>IF(VLOOKUP($B95,'Satınalma Takvimi Veri Girişi'!$B$4:$AC$146,13,FALSE)&lt;&gt;"",VLOOKUP($B95,'Satınalma Takvimi Veri Girişi'!$B$4:$AC$146,13,FALSE),"")</f>
        <v/>
      </c>
      <c r="W95" s="141">
        <f>VLOOKUP($B95,Şablon!$E$3:$Q$255,9,FALSE)</f>
        <v>7</v>
      </c>
      <c r="X95" s="142" t="str">
        <f t="shared" si="22"/>
        <v/>
      </c>
      <c r="Y95" s="143" t="str">
        <f t="shared" si="23"/>
        <v/>
      </c>
      <c r="Z95" s="144" t="str">
        <f>IF(VLOOKUP($B95,'Satınalma Takvimi Veri Girişi'!$B$4:$AC$146,15,FALSE)&lt;&gt;"",VLOOKUP($B95,'Satınalma Takvimi Veri Girişi'!$B$4:$AC$146,15,FALSE),"")</f>
        <v/>
      </c>
      <c r="AA95" s="141">
        <f>VLOOKUP($B95,Şablon!$E$3:$Q$255,10,FALSE)</f>
        <v>7</v>
      </c>
      <c r="AB95" s="142" t="str">
        <f t="shared" si="24"/>
        <v/>
      </c>
      <c r="AC95" s="143" t="str">
        <f t="shared" si="25"/>
        <v/>
      </c>
      <c r="AD95" s="144" t="str">
        <f>IF(VLOOKUP($B95,'Satınalma Takvimi Veri Girişi'!$B$4:$AC$146,17,FALSE)&lt;&gt;"",VLOOKUP($B95,'Satınalma Takvimi Veri Girişi'!$B$4:$AC$146,17,FALSE),"")</f>
        <v/>
      </c>
      <c r="AE95" s="141">
        <f>(VLOOKUP($B95,Şablon!$E$3:$Q$255,11,FALSE)+VLOOKUP($B95,Şablon!$E$3:$Q$255,12,FALSE))</f>
        <v>74</v>
      </c>
      <c r="AF95" s="142" t="str">
        <f t="shared" si="26"/>
        <v/>
      </c>
      <c r="AG95" s="143" t="str">
        <f t="shared" si="27"/>
        <v/>
      </c>
      <c r="AH95" s="144" t="str">
        <f>IF(VLOOKUP($B95,'Satınalma Takvimi Veri Girişi'!$B$4:$AC$146,19,FALSE)&lt;&gt;"",VLOOKUP($B95,'Satınalma Takvimi Veri Girişi'!$B$4:$AC$146,19,FALSE),"")</f>
        <v/>
      </c>
      <c r="AI95" s="145" t="str">
        <f>IF(VLOOKUP($B95,'Satınalma Takvimi Veri Girişi'!$B$4:$AC$146,20,FALSE)&lt;&gt;"",VLOOKUP($B95,'Satınalma Takvimi Veri Girişi'!$B$4:$AC$146,20,FALSE),"")</f>
        <v/>
      </c>
      <c r="AJ95" s="144" t="str">
        <f>IF(VLOOKUP($B95,'Satınalma Takvimi Veri Girişi'!$B$4:$AC$146,21,FALSE)&lt;&gt;"",VLOOKUP($B95,'Satınalma Takvimi Veri Girişi'!$B$4:$AC$146,21,FALSE),"")</f>
        <v/>
      </c>
      <c r="AK95" s="146" t="str">
        <f>IF(VLOOKUP($B95,'Satınalma Takvimi Veri Girişi'!$B$4:$AC$146,22,FALSE)&lt;&gt;"",VLOOKUP($B95,'Satınalma Takvimi Veri Girişi'!$B$4:$AC$146,22,FALSE),"")</f>
        <v/>
      </c>
      <c r="AL95" s="147" t="str">
        <f>IF(VLOOKUP($B95,'Satınalma Takvimi Veri Girişi'!$B$4:$AC$146,23,FALSE)&lt;&gt;"",VLOOKUP($B95,'Satınalma Takvimi Veri Girişi'!$B$4:$AC$146,23,FALSE),"")</f>
        <v/>
      </c>
      <c r="AM95" s="147" t="str">
        <f>IF(VLOOKUP($B95,'Satınalma Takvimi Veri Girişi'!$B$4:$AC$146,24,FALSE)&lt;&gt;"",VLOOKUP($B95,'Satınalma Takvimi Veri Girişi'!$B$4:$AC$146,24,FALSE),"")</f>
        <v/>
      </c>
      <c r="AN95" s="147" t="str">
        <f>IF(VLOOKUP($B95,'Satınalma Takvimi Veri Girişi'!$B$4:$AC$146,25,FALSE)&lt;&gt;"",VLOOKUP($B95,'Satınalma Takvimi Veri Girişi'!$B$4:$AC$146,25,FALSE),"")</f>
        <v/>
      </c>
      <c r="AO95" s="147" t="str">
        <f>IF(VLOOKUP($B95,'Satınalma Takvimi Veri Girişi'!$B$4:$AC$146,26,FALSE)&lt;&gt;"",VLOOKUP($B95,'Satınalma Takvimi Veri Girişi'!$B$4:$AC$146,26,FALSE),"")</f>
        <v/>
      </c>
      <c r="AP95" s="147" t="str">
        <f>IF(VLOOKUP($B95,'Satınalma Takvimi Veri Girişi'!$B$4:$AC$146,27,FALSE)&lt;&gt;"",VLOOKUP($B95,'Satınalma Takvimi Veri Girişi'!$B$4:$AC$146,27,FALSE),"")</f>
        <v/>
      </c>
      <c r="AQ95" s="148" t="str">
        <f>IF(VLOOKUP($B95,'Satınalma Takvimi Veri Girişi'!$B$4:$AC$146,28,FALSE)&lt;&gt;"",VLOOKUP($B95,'Satınalma Takvimi Veri Girişi'!$B$4:$AC$146,28,FALSE),"")</f>
        <v/>
      </c>
    </row>
    <row r="96" spans="2:43" ht="19.8" customHeight="1" x14ac:dyDescent="0.3">
      <c r="B96" s="64" t="str">
        <f>Şablon!E95</f>
        <v>IHL.3028.090/1</v>
      </c>
      <c r="C96" s="139" t="str">
        <f>VLOOKUP($B96,Şablon!$E$3:$Q$255,2,FALSE)</f>
        <v>17.05.00 (M) SPOR ALETLERİ</v>
      </c>
      <c r="D96" s="161" t="str">
        <f>IF(VLOOKUP($B96,'Satınalma Takvimi Veri Girişi'!$B$4:$AC$146,3,FALSE)&lt;&gt;"",VLOOKUP($B96,'Satınalma Takvimi Veri Girişi'!$B$4:$AC$146,3,FALSE),"")</f>
        <v/>
      </c>
      <c r="E96" s="139" t="str">
        <f>VLOOKUP($B96,Şablon!$E$3:$Q$255,3,FALSE)</f>
        <v>B KATEGORİ</v>
      </c>
      <c r="F96" s="140" t="str">
        <f>VLOOKUP($B96,Şablon!$E$3:$Q$255,4,FALSE)</f>
        <v>İNŞ</v>
      </c>
      <c r="G96" s="141">
        <f>VLOOKUP($B96,Şablon!$E$3:$Q$255,5,FALSE)</f>
        <v>0</v>
      </c>
      <c r="H96" s="142" t="str">
        <f t="shared" si="14"/>
        <v/>
      </c>
      <c r="I96" s="143" t="str">
        <f t="shared" si="15"/>
        <v/>
      </c>
      <c r="J96" s="144" t="str">
        <f>IF(VLOOKUP($B96,'Satınalma Takvimi Veri Girişi'!$B$4:$AC$146,7,FALSE)&lt;&gt;"",VLOOKUP($B96,'Satınalma Takvimi Veri Girişi'!$B$4:$AC$146,7,FALSE),"")</f>
        <v/>
      </c>
      <c r="K96" s="141">
        <f>VLOOKUP($B96,Şablon!$E$3:$Q$255,6,FALSE)</f>
        <v>14</v>
      </c>
      <c r="L96" s="142" t="str">
        <f t="shared" si="16"/>
        <v/>
      </c>
      <c r="M96" s="143" t="str">
        <f t="shared" si="17"/>
        <v/>
      </c>
      <c r="N96" s="144" t="str">
        <f>IF(VLOOKUP($B96,'Satınalma Takvimi Veri Girişi'!$B$4:$AC$146,9,FALSE)&lt;&gt;"",VLOOKUP($B96,'Satınalma Takvimi Veri Girişi'!$B$4:$AC$146,9,FALSE),"")</f>
        <v/>
      </c>
      <c r="O96" s="141">
        <f>VLOOKUP($B96,Şablon!$E$3:$Q$255,7,FALSE)</f>
        <v>14</v>
      </c>
      <c r="P96" s="142" t="str">
        <f t="shared" si="18"/>
        <v/>
      </c>
      <c r="Q96" s="143" t="str">
        <f t="shared" si="19"/>
        <v/>
      </c>
      <c r="R96" s="144" t="str">
        <f>IF(VLOOKUP($B96,'Satınalma Takvimi Veri Girişi'!$B$4:$AC$146,11,FALSE)&lt;&gt;"",VLOOKUP($B96,'Satınalma Takvimi Veri Girişi'!$B$4:$AC$146,11,FALSE),"")</f>
        <v/>
      </c>
      <c r="S96" s="141">
        <f>VLOOKUP($B96,Şablon!$E$3:$Q$255,8,FALSE)</f>
        <v>28</v>
      </c>
      <c r="T96" s="142" t="str">
        <f t="shared" si="20"/>
        <v/>
      </c>
      <c r="U96" s="143" t="str">
        <f t="shared" si="21"/>
        <v/>
      </c>
      <c r="V96" s="144" t="str">
        <f>IF(VLOOKUP($B96,'Satınalma Takvimi Veri Girişi'!$B$4:$AC$146,13,FALSE)&lt;&gt;"",VLOOKUP($B96,'Satınalma Takvimi Veri Girişi'!$B$4:$AC$146,13,FALSE),"")</f>
        <v/>
      </c>
      <c r="W96" s="141">
        <f>VLOOKUP($B96,Şablon!$E$3:$Q$255,9,FALSE)</f>
        <v>7</v>
      </c>
      <c r="X96" s="142" t="str">
        <f t="shared" si="22"/>
        <v/>
      </c>
      <c r="Y96" s="143" t="str">
        <f t="shared" si="23"/>
        <v/>
      </c>
      <c r="Z96" s="144" t="str">
        <f>IF(VLOOKUP($B96,'Satınalma Takvimi Veri Girişi'!$B$4:$AC$146,15,FALSE)&lt;&gt;"",VLOOKUP($B96,'Satınalma Takvimi Veri Girişi'!$B$4:$AC$146,15,FALSE),"")</f>
        <v/>
      </c>
      <c r="AA96" s="141">
        <f>VLOOKUP($B96,Şablon!$E$3:$Q$255,10,FALSE)</f>
        <v>14</v>
      </c>
      <c r="AB96" s="142" t="str">
        <f t="shared" si="24"/>
        <v/>
      </c>
      <c r="AC96" s="143" t="str">
        <f t="shared" si="25"/>
        <v/>
      </c>
      <c r="AD96" s="144" t="str">
        <f>IF(VLOOKUP($B96,'Satınalma Takvimi Veri Girişi'!$B$4:$AC$146,17,FALSE)&lt;&gt;"",VLOOKUP($B96,'Satınalma Takvimi Veri Girişi'!$B$4:$AC$146,17,FALSE),"")</f>
        <v/>
      </c>
      <c r="AE96" s="141">
        <f>(VLOOKUP($B96,Şablon!$E$3:$Q$255,11,FALSE)+VLOOKUP($B96,Şablon!$E$3:$Q$255,12,FALSE))</f>
        <v>67</v>
      </c>
      <c r="AF96" s="142" t="str">
        <f t="shared" si="26"/>
        <v/>
      </c>
      <c r="AG96" s="143" t="str">
        <f t="shared" si="27"/>
        <v/>
      </c>
      <c r="AH96" s="144" t="str">
        <f>IF(VLOOKUP($B96,'Satınalma Takvimi Veri Girişi'!$B$4:$AC$146,19,FALSE)&lt;&gt;"",VLOOKUP($B96,'Satınalma Takvimi Veri Girişi'!$B$4:$AC$146,19,FALSE),"")</f>
        <v/>
      </c>
      <c r="AI96" s="145" t="str">
        <f>IF(VLOOKUP($B96,'Satınalma Takvimi Veri Girişi'!$B$4:$AC$146,20,FALSE)&lt;&gt;"",VLOOKUP($B96,'Satınalma Takvimi Veri Girişi'!$B$4:$AC$146,20,FALSE),"")</f>
        <v/>
      </c>
      <c r="AJ96" s="144" t="str">
        <f>IF(VLOOKUP($B96,'Satınalma Takvimi Veri Girişi'!$B$4:$AC$146,21,FALSE)&lt;&gt;"",VLOOKUP($B96,'Satınalma Takvimi Veri Girişi'!$B$4:$AC$146,21,FALSE),"")</f>
        <v/>
      </c>
      <c r="AK96" s="146" t="str">
        <f>IF(VLOOKUP($B96,'Satınalma Takvimi Veri Girişi'!$B$4:$AC$146,22,FALSE)&lt;&gt;"",VLOOKUP($B96,'Satınalma Takvimi Veri Girişi'!$B$4:$AC$146,22,FALSE),"")</f>
        <v/>
      </c>
      <c r="AL96" s="147" t="str">
        <f>IF(VLOOKUP($B96,'Satınalma Takvimi Veri Girişi'!$B$4:$AC$146,23,FALSE)&lt;&gt;"",VLOOKUP($B96,'Satınalma Takvimi Veri Girişi'!$B$4:$AC$146,23,FALSE),"")</f>
        <v/>
      </c>
      <c r="AM96" s="147" t="str">
        <f>IF(VLOOKUP($B96,'Satınalma Takvimi Veri Girişi'!$B$4:$AC$146,24,FALSE)&lt;&gt;"",VLOOKUP($B96,'Satınalma Takvimi Veri Girişi'!$B$4:$AC$146,24,FALSE),"")</f>
        <v/>
      </c>
      <c r="AN96" s="147" t="str">
        <f>IF(VLOOKUP($B96,'Satınalma Takvimi Veri Girişi'!$B$4:$AC$146,25,FALSE)&lt;&gt;"",VLOOKUP($B96,'Satınalma Takvimi Veri Girişi'!$B$4:$AC$146,25,FALSE),"")</f>
        <v/>
      </c>
      <c r="AO96" s="147" t="str">
        <f>IF(VLOOKUP($B96,'Satınalma Takvimi Veri Girişi'!$B$4:$AC$146,26,FALSE)&lt;&gt;"",VLOOKUP($B96,'Satınalma Takvimi Veri Girişi'!$B$4:$AC$146,26,FALSE),"")</f>
        <v/>
      </c>
      <c r="AP96" s="147" t="str">
        <f>IF(VLOOKUP($B96,'Satınalma Takvimi Veri Girişi'!$B$4:$AC$146,27,FALSE)&lt;&gt;"",VLOOKUP($B96,'Satınalma Takvimi Veri Girişi'!$B$4:$AC$146,27,FALSE),"")</f>
        <v/>
      </c>
      <c r="AQ96" s="148" t="str">
        <f>IF(VLOOKUP($B96,'Satınalma Takvimi Veri Girişi'!$B$4:$AC$146,28,FALSE)&lt;&gt;"",VLOOKUP($B96,'Satınalma Takvimi Veri Girişi'!$B$4:$AC$146,28,FALSE),"")</f>
        <v/>
      </c>
    </row>
    <row r="97" spans="2:43" ht="19.8" customHeight="1" x14ac:dyDescent="0.3">
      <c r="B97" s="64" t="str">
        <f>Şablon!E96</f>
        <v>IHL.3028.091/1</v>
      </c>
      <c r="C97" s="139" t="str">
        <f>VLOOKUP($B97,Şablon!$E$3:$Q$255,2,FALSE)</f>
        <v>15.06.03 (M) LAMİNANT PARKE MALZEME</v>
      </c>
      <c r="D97" s="161" t="str">
        <f>IF(VLOOKUP($B97,'Satınalma Takvimi Veri Girişi'!$B$4:$AC$146,3,FALSE)&lt;&gt;"",VLOOKUP($B97,'Satınalma Takvimi Veri Girişi'!$B$4:$AC$146,3,FALSE),"")</f>
        <v/>
      </c>
      <c r="E97" s="139" t="str">
        <f>VLOOKUP($B97,Şablon!$E$3:$Q$255,3,FALSE)</f>
        <v>B KATEGORİ</v>
      </c>
      <c r="F97" s="140" t="str">
        <f>VLOOKUP($B97,Şablon!$E$3:$Q$255,4,FALSE)</f>
        <v>İNŞ</v>
      </c>
      <c r="G97" s="141">
        <f>VLOOKUP($B97,Şablon!$E$3:$Q$255,5,FALSE)</f>
        <v>0</v>
      </c>
      <c r="H97" s="142" t="str">
        <f t="shared" si="14"/>
        <v/>
      </c>
      <c r="I97" s="143" t="str">
        <f t="shared" si="15"/>
        <v/>
      </c>
      <c r="J97" s="144" t="str">
        <f>IF(VLOOKUP($B97,'Satınalma Takvimi Veri Girişi'!$B$4:$AC$146,7,FALSE)&lt;&gt;"",VLOOKUP($B97,'Satınalma Takvimi Veri Girişi'!$B$4:$AC$146,7,FALSE),"")</f>
        <v/>
      </c>
      <c r="K97" s="141">
        <f>VLOOKUP($B97,Şablon!$E$3:$Q$255,6,FALSE)</f>
        <v>14</v>
      </c>
      <c r="L97" s="142" t="str">
        <f t="shared" si="16"/>
        <v/>
      </c>
      <c r="M97" s="143" t="str">
        <f t="shared" si="17"/>
        <v/>
      </c>
      <c r="N97" s="144" t="str">
        <f>IF(VLOOKUP($B97,'Satınalma Takvimi Veri Girişi'!$B$4:$AC$146,9,FALSE)&lt;&gt;"",VLOOKUP($B97,'Satınalma Takvimi Veri Girişi'!$B$4:$AC$146,9,FALSE),"")</f>
        <v/>
      </c>
      <c r="O97" s="141">
        <f>VLOOKUP($B97,Şablon!$E$3:$Q$255,7,FALSE)</f>
        <v>7</v>
      </c>
      <c r="P97" s="142" t="str">
        <f t="shared" si="18"/>
        <v/>
      </c>
      <c r="Q97" s="143" t="str">
        <f t="shared" si="19"/>
        <v/>
      </c>
      <c r="R97" s="144" t="str">
        <f>IF(VLOOKUP($B97,'Satınalma Takvimi Veri Girişi'!$B$4:$AC$146,11,FALSE)&lt;&gt;"",VLOOKUP($B97,'Satınalma Takvimi Veri Girişi'!$B$4:$AC$146,11,FALSE),"")</f>
        <v/>
      </c>
      <c r="S97" s="141">
        <f>VLOOKUP($B97,Şablon!$E$3:$Q$255,8,FALSE)</f>
        <v>7</v>
      </c>
      <c r="T97" s="142" t="str">
        <f t="shared" si="20"/>
        <v/>
      </c>
      <c r="U97" s="143" t="str">
        <f t="shared" si="21"/>
        <v/>
      </c>
      <c r="V97" s="144" t="str">
        <f>IF(VLOOKUP($B97,'Satınalma Takvimi Veri Girişi'!$B$4:$AC$146,13,FALSE)&lt;&gt;"",VLOOKUP($B97,'Satınalma Takvimi Veri Girişi'!$B$4:$AC$146,13,FALSE),"")</f>
        <v/>
      </c>
      <c r="W97" s="141">
        <f>VLOOKUP($B97,Şablon!$E$3:$Q$255,9,FALSE)</f>
        <v>7</v>
      </c>
      <c r="X97" s="142" t="str">
        <f t="shared" si="22"/>
        <v/>
      </c>
      <c r="Y97" s="143" t="str">
        <f t="shared" si="23"/>
        <v/>
      </c>
      <c r="Z97" s="144" t="str">
        <f>IF(VLOOKUP($B97,'Satınalma Takvimi Veri Girişi'!$B$4:$AC$146,15,FALSE)&lt;&gt;"",VLOOKUP($B97,'Satınalma Takvimi Veri Girişi'!$B$4:$AC$146,15,FALSE),"")</f>
        <v/>
      </c>
      <c r="AA97" s="141">
        <f>VLOOKUP($B97,Şablon!$E$3:$Q$255,10,FALSE)</f>
        <v>7</v>
      </c>
      <c r="AB97" s="142" t="str">
        <f t="shared" si="24"/>
        <v/>
      </c>
      <c r="AC97" s="143" t="str">
        <f t="shared" si="25"/>
        <v/>
      </c>
      <c r="AD97" s="144" t="str">
        <f>IF(VLOOKUP($B97,'Satınalma Takvimi Veri Girişi'!$B$4:$AC$146,17,FALSE)&lt;&gt;"",VLOOKUP($B97,'Satınalma Takvimi Veri Girişi'!$B$4:$AC$146,17,FALSE),"")</f>
        <v/>
      </c>
      <c r="AE97" s="141">
        <f>(VLOOKUP($B97,Şablon!$E$3:$Q$255,11,FALSE)+VLOOKUP($B97,Şablon!$E$3:$Q$255,12,FALSE))</f>
        <v>7</v>
      </c>
      <c r="AF97" s="142" t="str">
        <f t="shared" si="26"/>
        <v/>
      </c>
      <c r="AG97" s="143" t="str">
        <f t="shared" si="27"/>
        <v/>
      </c>
      <c r="AH97" s="144" t="str">
        <f>IF(VLOOKUP($B97,'Satınalma Takvimi Veri Girişi'!$B$4:$AC$146,19,FALSE)&lt;&gt;"",VLOOKUP($B97,'Satınalma Takvimi Veri Girişi'!$B$4:$AC$146,19,FALSE),"")</f>
        <v/>
      </c>
      <c r="AI97" s="145" t="str">
        <f>IF(VLOOKUP($B97,'Satınalma Takvimi Veri Girişi'!$B$4:$AC$146,20,FALSE)&lt;&gt;"",VLOOKUP($B97,'Satınalma Takvimi Veri Girişi'!$B$4:$AC$146,20,FALSE),"")</f>
        <v/>
      </c>
      <c r="AJ97" s="144" t="str">
        <f>IF(VLOOKUP($B97,'Satınalma Takvimi Veri Girişi'!$B$4:$AC$146,21,FALSE)&lt;&gt;"",VLOOKUP($B97,'Satınalma Takvimi Veri Girişi'!$B$4:$AC$146,21,FALSE),"")</f>
        <v/>
      </c>
      <c r="AK97" s="146" t="str">
        <f>IF(VLOOKUP($B97,'Satınalma Takvimi Veri Girişi'!$B$4:$AC$146,22,FALSE)&lt;&gt;"",VLOOKUP($B97,'Satınalma Takvimi Veri Girişi'!$B$4:$AC$146,22,FALSE),"")</f>
        <v/>
      </c>
      <c r="AL97" s="147" t="str">
        <f>IF(VLOOKUP($B97,'Satınalma Takvimi Veri Girişi'!$B$4:$AC$146,23,FALSE)&lt;&gt;"",VLOOKUP($B97,'Satınalma Takvimi Veri Girişi'!$B$4:$AC$146,23,FALSE),"")</f>
        <v/>
      </c>
      <c r="AM97" s="147" t="str">
        <f>IF(VLOOKUP($B97,'Satınalma Takvimi Veri Girişi'!$B$4:$AC$146,24,FALSE)&lt;&gt;"",VLOOKUP($B97,'Satınalma Takvimi Veri Girişi'!$B$4:$AC$146,24,FALSE),"")</f>
        <v/>
      </c>
      <c r="AN97" s="147" t="str">
        <f>IF(VLOOKUP($B97,'Satınalma Takvimi Veri Girişi'!$B$4:$AC$146,25,FALSE)&lt;&gt;"",VLOOKUP($B97,'Satınalma Takvimi Veri Girişi'!$B$4:$AC$146,25,FALSE),"")</f>
        <v/>
      </c>
      <c r="AO97" s="147" t="str">
        <f>IF(VLOOKUP($B97,'Satınalma Takvimi Veri Girişi'!$B$4:$AC$146,26,FALSE)&lt;&gt;"",VLOOKUP($B97,'Satınalma Takvimi Veri Girişi'!$B$4:$AC$146,26,FALSE),"")</f>
        <v/>
      </c>
      <c r="AP97" s="147" t="str">
        <f>IF(VLOOKUP($B97,'Satınalma Takvimi Veri Girişi'!$B$4:$AC$146,27,FALSE)&lt;&gt;"",VLOOKUP($B97,'Satınalma Takvimi Veri Girişi'!$B$4:$AC$146,27,FALSE),"")</f>
        <v/>
      </c>
      <c r="AQ97" s="148" t="str">
        <f>IF(VLOOKUP($B97,'Satınalma Takvimi Veri Girişi'!$B$4:$AC$146,28,FALSE)&lt;&gt;"",VLOOKUP($B97,'Satınalma Takvimi Veri Girişi'!$B$4:$AC$146,28,FALSE),"")</f>
        <v/>
      </c>
    </row>
    <row r="98" spans="2:43" ht="19.8" customHeight="1" x14ac:dyDescent="0.3">
      <c r="B98" s="64" t="str">
        <f>Şablon!E97</f>
        <v>IHL.3028.092/1</v>
      </c>
      <c r="C98" s="139" t="str">
        <f>VLOOKUP($B98,Şablon!$E$3:$Q$255,2,FALSE)</f>
        <v>15.06.03 LAMİNANT PARKE</v>
      </c>
      <c r="D98" s="161" t="str">
        <f>IF(VLOOKUP($B98,'Satınalma Takvimi Veri Girişi'!$B$4:$AC$146,3,FALSE)&lt;&gt;"",VLOOKUP($B98,'Satınalma Takvimi Veri Girişi'!$B$4:$AC$146,3,FALSE),"")</f>
        <v/>
      </c>
      <c r="E98" s="139" t="str">
        <f>VLOOKUP($B98,Şablon!$E$3:$Q$255,3,FALSE)</f>
        <v>B KATEGORİ</v>
      </c>
      <c r="F98" s="140" t="str">
        <f>VLOOKUP($B98,Şablon!$E$3:$Q$255,4,FALSE)</f>
        <v>İNŞ</v>
      </c>
      <c r="G98" s="141">
        <f>VLOOKUP($B98,Şablon!$E$3:$Q$255,5,FALSE)</f>
        <v>0</v>
      </c>
      <c r="H98" s="142" t="str">
        <f t="shared" si="14"/>
        <v/>
      </c>
      <c r="I98" s="143" t="str">
        <f t="shared" si="15"/>
        <v/>
      </c>
      <c r="J98" s="144" t="str">
        <f>IF(VLOOKUP($B98,'Satınalma Takvimi Veri Girişi'!$B$4:$AC$146,7,FALSE)&lt;&gt;"",VLOOKUP($B98,'Satınalma Takvimi Veri Girişi'!$B$4:$AC$146,7,FALSE),"")</f>
        <v/>
      </c>
      <c r="K98" s="141">
        <f>VLOOKUP($B98,Şablon!$E$3:$Q$255,6,FALSE)</f>
        <v>14</v>
      </c>
      <c r="L98" s="142" t="str">
        <f t="shared" si="16"/>
        <v/>
      </c>
      <c r="M98" s="143" t="str">
        <f t="shared" si="17"/>
        <v/>
      </c>
      <c r="N98" s="144" t="str">
        <f>IF(VLOOKUP($B98,'Satınalma Takvimi Veri Girişi'!$B$4:$AC$146,9,FALSE)&lt;&gt;"",VLOOKUP($B98,'Satınalma Takvimi Veri Girişi'!$B$4:$AC$146,9,FALSE),"")</f>
        <v/>
      </c>
      <c r="O98" s="141">
        <f>VLOOKUP($B98,Şablon!$E$3:$Q$255,7,FALSE)</f>
        <v>7</v>
      </c>
      <c r="P98" s="142" t="str">
        <f t="shared" si="18"/>
        <v/>
      </c>
      <c r="Q98" s="143" t="str">
        <f t="shared" si="19"/>
        <v/>
      </c>
      <c r="R98" s="144" t="str">
        <f>IF(VLOOKUP($B98,'Satınalma Takvimi Veri Girişi'!$B$4:$AC$146,11,FALSE)&lt;&gt;"",VLOOKUP($B98,'Satınalma Takvimi Veri Girişi'!$B$4:$AC$146,11,FALSE),"")</f>
        <v/>
      </c>
      <c r="S98" s="141">
        <f>VLOOKUP($B98,Şablon!$E$3:$Q$255,8,FALSE)</f>
        <v>7</v>
      </c>
      <c r="T98" s="142" t="str">
        <f t="shared" si="20"/>
        <v/>
      </c>
      <c r="U98" s="143" t="str">
        <f t="shared" si="21"/>
        <v/>
      </c>
      <c r="V98" s="144" t="str">
        <f>IF(VLOOKUP($B98,'Satınalma Takvimi Veri Girişi'!$B$4:$AC$146,13,FALSE)&lt;&gt;"",VLOOKUP($B98,'Satınalma Takvimi Veri Girişi'!$B$4:$AC$146,13,FALSE),"")</f>
        <v/>
      </c>
      <c r="W98" s="141">
        <f>VLOOKUP($B98,Şablon!$E$3:$Q$255,9,FALSE)</f>
        <v>7</v>
      </c>
      <c r="X98" s="142" t="str">
        <f t="shared" si="22"/>
        <v/>
      </c>
      <c r="Y98" s="143" t="str">
        <f t="shared" si="23"/>
        <v/>
      </c>
      <c r="Z98" s="144" t="str">
        <f>IF(VLOOKUP($B98,'Satınalma Takvimi Veri Girişi'!$B$4:$AC$146,15,FALSE)&lt;&gt;"",VLOOKUP($B98,'Satınalma Takvimi Veri Girişi'!$B$4:$AC$146,15,FALSE),"")</f>
        <v/>
      </c>
      <c r="AA98" s="141">
        <f>VLOOKUP($B98,Şablon!$E$3:$Q$255,10,FALSE)</f>
        <v>7</v>
      </c>
      <c r="AB98" s="142" t="str">
        <f t="shared" si="24"/>
        <v/>
      </c>
      <c r="AC98" s="143" t="str">
        <f t="shared" si="25"/>
        <v/>
      </c>
      <c r="AD98" s="144" t="str">
        <f>IF(VLOOKUP($B98,'Satınalma Takvimi Veri Girişi'!$B$4:$AC$146,17,FALSE)&lt;&gt;"",VLOOKUP($B98,'Satınalma Takvimi Veri Girişi'!$B$4:$AC$146,17,FALSE),"")</f>
        <v/>
      </c>
      <c r="AE98" s="141">
        <f>(VLOOKUP($B98,Şablon!$E$3:$Q$255,11,FALSE)+VLOOKUP($B98,Şablon!$E$3:$Q$255,12,FALSE))</f>
        <v>7</v>
      </c>
      <c r="AF98" s="142" t="str">
        <f t="shared" si="26"/>
        <v/>
      </c>
      <c r="AG98" s="143" t="str">
        <f t="shared" si="27"/>
        <v/>
      </c>
      <c r="AH98" s="144" t="str">
        <f>IF(VLOOKUP($B98,'Satınalma Takvimi Veri Girişi'!$B$4:$AC$146,19,FALSE)&lt;&gt;"",VLOOKUP($B98,'Satınalma Takvimi Veri Girişi'!$B$4:$AC$146,19,FALSE),"")</f>
        <v/>
      </c>
      <c r="AI98" s="145" t="str">
        <f>IF(VLOOKUP($B98,'Satınalma Takvimi Veri Girişi'!$B$4:$AC$146,20,FALSE)&lt;&gt;"",VLOOKUP($B98,'Satınalma Takvimi Veri Girişi'!$B$4:$AC$146,20,FALSE),"")</f>
        <v/>
      </c>
      <c r="AJ98" s="144" t="str">
        <f>IF(VLOOKUP($B98,'Satınalma Takvimi Veri Girişi'!$B$4:$AC$146,21,FALSE)&lt;&gt;"",VLOOKUP($B98,'Satınalma Takvimi Veri Girişi'!$B$4:$AC$146,21,FALSE),"")</f>
        <v/>
      </c>
      <c r="AK98" s="146" t="str">
        <f>IF(VLOOKUP($B98,'Satınalma Takvimi Veri Girişi'!$B$4:$AC$146,22,FALSE)&lt;&gt;"",VLOOKUP($B98,'Satınalma Takvimi Veri Girişi'!$B$4:$AC$146,22,FALSE),"")</f>
        <v/>
      </c>
      <c r="AL98" s="147" t="str">
        <f>IF(VLOOKUP($B98,'Satınalma Takvimi Veri Girişi'!$B$4:$AC$146,23,FALSE)&lt;&gt;"",VLOOKUP($B98,'Satınalma Takvimi Veri Girişi'!$B$4:$AC$146,23,FALSE),"")</f>
        <v/>
      </c>
      <c r="AM98" s="147" t="str">
        <f>IF(VLOOKUP($B98,'Satınalma Takvimi Veri Girişi'!$B$4:$AC$146,24,FALSE)&lt;&gt;"",VLOOKUP($B98,'Satınalma Takvimi Veri Girişi'!$B$4:$AC$146,24,FALSE),"")</f>
        <v/>
      </c>
      <c r="AN98" s="147" t="str">
        <f>IF(VLOOKUP($B98,'Satınalma Takvimi Veri Girişi'!$B$4:$AC$146,25,FALSE)&lt;&gt;"",VLOOKUP($B98,'Satınalma Takvimi Veri Girişi'!$B$4:$AC$146,25,FALSE),"")</f>
        <v/>
      </c>
      <c r="AO98" s="147" t="str">
        <f>IF(VLOOKUP($B98,'Satınalma Takvimi Veri Girişi'!$B$4:$AC$146,26,FALSE)&lt;&gt;"",VLOOKUP($B98,'Satınalma Takvimi Veri Girişi'!$B$4:$AC$146,26,FALSE),"")</f>
        <v/>
      </c>
      <c r="AP98" s="147" t="str">
        <f>IF(VLOOKUP($B98,'Satınalma Takvimi Veri Girişi'!$B$4:$AC$146,27,FALSE)&lt;&gt;"",VLOOKUP($B98,'Satınalma Takvimi Veri Girişi'!$B$4:$AC$146,27,FALSE),"")</f>
        <v/>
      </c>
      <c r="AQ98" s="148" t="str">
        <f>IF(VLOOKUP($B98,'Satınalma Takvimi Veri Girişi'!$B$4:$AC$146,28,FALSE)&lt;&gt;"",VLOOKUP($B98,'Satınalma Takvimi Veri Girişi'!$B$4:$AC$146,28,FALSE),"")</f>
        <v/>
      </c>
    </row>
    <row r="99" spans="2:43" ht="19.8" customHeight="1" x14ac:dyDescent="0.3">
      <c r="B99" s="64" t="str">
        <f>Şablon!E98</f>
        <v>IHL.3028.093/1</v>
      </c>
      <c r="C99" s="139" t="str">
        <f>VLOOKUP($B99,Şablon!$E$3:$Q$255,2,FALSE)</f>
        <v>29.03.00  (M) SERT PEYZAJ MALZEMELERİ</v>
      </c>
      <c r="D99" s="161" t="str">
        <f>IF(VLOOKUP($B99,'Satınalma Takvimi Veri Girişi'!$B$4:$AC$146,3,FALSE)&lt;&gt;"",VLOOKUP($B99,'Satınalma Takvimi Veri Girişi'!$B$4:$AC$146,3,FALSE),"")</f>
        <v/>
      </c>
      <c r="E99" s="139" t="str">
        <f>VLOOKUP($B99,Şablon!$E$3:$Q$255,3,FALSE)</f>
        <v>B KATEGORİ</v>
      </c>
      <c r="F99" s="140" t="str">
        <f>VLOOKUP($B99,Şablon!$E$3:$Q$255,4,FALSE)</f>
        <v>İNŞ</v>
      </c>
      <c r="G99" s="141">
        <f>VLOOKUP($B99,Şablon!$E$3:$Q$255,5,FALSE)</f>
        <v>0</v>
      </c>
      <c r="H99" s="142" t="str">
        <f t="shared" si="14"/>
        <v/>
      </c>
      <c r="I99" s="143" t="str">
        <f t="shared" si="15"/>
        <v/>
      </c>
      <c r="J99" s="144" t="str">
        <f>IF(VLOOKUP($B99,'Satınalma Takvimi Veri Girişi'!$B$4:$AC$146,7,FALSE)&lt;&gt;"",VLOOKUP($B99,'Satınalma Takvimi Veri Girişi'!$B$4:$AC$146,7,FALSE),"")</f>
        <v/>
      </c>
      <c r="K99" s="141">
        <f>VLOOKUP($B99,Şablon!$E$3:$Q$255,6,FALSE)</f>
        <v>14</v>
      </c>
      <c r="L99" s="142" t="str">
        <f t="shared" si="16"/>
        <v/>
      </c>
      <c r="M99" s="143" t="str">
        <f t="shared" si="17"/>
        <v/>
      </c>
      <c r="N99" s="144" t="str">
        <f>IF(VLOOKUP($B99,'Satınalma Takvimi Veri Girişi'!$B$4:$AC$146,9,FALSE)&lt;&gt;"",VLOOKUP($B99,'Satınalma Takvimi Veri Girişi'!$B$4:$AC$146,9,FALSE),"")</f>
        <v/>
      </c>
      <c r="O99" s="141">
        <f>VLOOKUP($B99,Şablon!$E$3:$Q$255,7,FALSE)</f>
        <v>7</v>
      </c>
      <c r="P99" s="142" t="str">
        <f t="shared" si="18"/>
        <v/>
      </c>
      <c r="Q99" s="143" t="str">
        <f t="shared" si="19"/>
        <v/>
      </c>
      <c r="R99" s="144" t="str">
        <f>IF(VLOOKUP($B99,'Satınalma Takvimi Veri Girişi'!$B$4:$AC$146,11,FALSE)&lt;&gt;"",VLOOKUP($B99,'Satınalma Takvimi Veri Girişi'!$B$4:$AC$146,11,FALSE),"")</f>
        <v/>
      </c>
      <c r="S99" s="141">
        <f>VLOOKUP($B99,Şablon!$E$3:$Q$255,8,FALSE)</f>
        <v>14</v>
      </c>
      <c r="T99" s="142" t="str">
        <f t="shared" si="20"/>
        <v/>
      </c>
      <c r="U99" s="143" t="str">
        <f t="shared" si="21"/>
        <v/>
      </c>
      <c r="V99" s="144" t="str">
        <f>IF(VLOOKUP($B99,'Satınalma Takvimi Veri Girişi'!$B$4:$AC$146,13,FALSE)&lt;&gt;"",VLOOKUP($B99,'Satınalma Takvimi Veri Girişi'!$B$4:$AC$146,13,FALSE),"")</f>
        <v/>
      </c>
      <c r="W99" s="141">
        <f>VLOOKUP($B99,Şablon!$E$3:$Q$255,9,FALSE)</f>
        <v>7</v>
      </c>
      <c r="X99" s="142" t="str">
        <f t="shared" si="22"/>
        <v/>
      </c>
      <c r="Y99" s="143" t="str">
        <f t="shared" si="23"/>
        <v/>
      </c>
      <c r="Z99" s="144" t="str">
        <f>IF(VLOOKUP($B99,'Satınalma Takvimi Veri Girişi'!$B$4:$AC$146,15,FALSE)&lt;&gt;"",VLOOKUP($B99,'Satınalma Takvimi Veri Girişi'!$B$4:$AC$146,15,FALSE),"")</f>
        <v/>
      </c>
      <c r="AA99" s="141">
        <f>VLOOKUP($B99,Şablon!$E$3:$Q$255,10,FALSE)</f>
        <v>7</v>
      </c>
      <c r="AB99" s="142" t="str">
        <f t="shared" si="24"/>
        <v/>
      </c>
      <c r="AC99" s="143" t="str">
        <f t="shared" si="25"/>
        <v/>
      </c>
      <c r="AD99" s="144" t="str">
        <f>IF(VLOOKUP($B99,'Satınalma Takvimi Veri Girişi'!$B$4:$AC$146,17,FALSE)&lt;&gt;"",VLOOKUP($B99,'Satınalma Takvimi Veri Girişi'!$B$4:$AC$146,17,FALSE),"")</f>
        <v/>
      </c>
      <c r="AE99" s="141">
        <f>(VLOOKUP($B99,Şablon!$E$3:$Q$255,11,FALSE)+VLOOKUP($B99,Şablon!$E$3:$Q$255,12,FALSE))</f>
        <v>21</v>
      </c>
      <c r="AF99" s="142" t="str">
        <f t="shared" si="26"/>
        <v/>
      </c>
      <c r="AG99" s="143" t="str">
        <f t="shared" si="27"/>
        <v/>
      </c>
      <c r="AH99" s="144" t="str">
        <f>IF(VLOOKUP($B99,'Satınalma Takvimi Veri Girişi'!$B$4:$AC$146,19,FALSE)&lt;&gt;"",VLOOKUP($B99,'Satınalma Takvimi Veri Girişi'!$B$4:$AC$146,19,FALSE),"")</f>
        <v/>
      </c>
      <c r="AI99" s="145" t="str">
        <f>IF(VLOOKUP($B99,'Satınalma Takvimi Veri Girişi'!$B$4:$AC$146,20,FALSE)&lt;&gt;"",VLOOKUP($B99,'Satınalma Takvimi Veri Girişi'!$B$4:$AC$146,20,FALSE),"")</f>
        <v/>
      </c>
      <c r="AJ99" s="144" t="str">
        <f>IF(VLOOKUP($B99,'Satınalma Takvimi Veri Girişi'!$B$4:$AC$146,21,FALSE)&lt;&gt;"",VLOOKUP($B99,'Satınalma Takvimi Veri Girişi'!$B$4:$AC$146,21,FALSE),"")</f>
        <v/>
      </c>
      <c r="AK99" s="146" t="str">
        <f>IF(VLOOKUP($B99,'Satınalma Takvimi Veri Girişi'!$B$4:$AC$146,22,FALSE)&lt;&gt;"",VLOOKUP($B99,'Satınalma Takvimi Veri Girişi'!$B$4:$AC$146,22,FALSE),"")</f>
        <v/>
      </c>
      <c r="AL99" s="147" t="str">
        <f>IF(VLOOKUP($B99,'Satınalma Takvimi Veri Girişi'!$B$4:$AC$146,23,FALSE)&lt;&gt;"",VLOOKUP($B99,'Satınalma Takvimi Veri Girişi'!$B$4:$AC$146,23,FALSE),"")</f>
        <v/>
      </c>
      <c r="AM99" s="147" t="str">
        <f>IF(VLOOKUP($B99,'Satınalma Takvimi Veri Girişi'!$B$4:$AC$146,24,FALSE)&lt;&gt;"",VLOOKUP($B99,'Satınalma Takvimi Veri Girişi'!$B$4:$AC$146,24,FALSE),"")</f>
        <v/>
      </c>
      <c r="AN99" s="147" t="str">
        <f>IF(VLOOKUP($B99,'Satınalma Takvimi Veri Girişi'!$B$4:$AC$146,25,FALSE)&lt;&gt;"",VLOOKUP($B99,'Satınalma Takvimi Veri Girişi'!$B$4:$AC$146,25,FALSE),"")</f>
        <v/>
      </c>
      <c r="AO99" s="147" t="str">
        <f>IF(VLOOKUP($B99,'Satınalma Takvimi Veri Girişi'!$B$4:$AC$146,26,FALSE)&lt;&gt;"",VLOOKUP($B99,'Satınalma Takvimi Veri Girişi'!$B$4:$AC$146,26,FALSE),"")</f>
        <v/>
      </c>
      <c r="AP99" s="147" t="str">
        <f>IF(VLOOKUP($B99,'Satınalma Takvimi Veri Girişi'!$B$4:$AC$146,27,FALSE)&lt;&gt;"",VLOOKUP($B99,'Satınalma Takvimi Veri Girişi'!$B$4:$AC$146,27,FALSE),"")</f>
        <v/>
      </c>
      <c r="AQ99" s="148" t="str">
        <f>IF(VLOOKUP($B99,'Satınalma Takvimi Veri Girişi'!$B$4:$AC$146,28,FALSE)&lt;&gt;"",VLOOKUP($B99,'Satınalma Takvimi Veri Girişi'!$B$4:$AC$146,28,FALSE),"")</f>
        <v/>
      </c>
    </row>
    <row r="100" spans="2:43" ht="19.8" customHeight="1" x14ac:dyDescent="0.3">
      <c r="B100" s="64" t="str">
        <f>Şablon!E99</f>
        <v>IHL.3028.094/1</v>
      </c>
      <c r="C100" s="139" t="str">
        <f>VLOOKUP($B100,Şablon!$E$3:$Q$255,2,FALSE)</f>
        <v>29.03.00 SERT PEYZAJ İŞLERİ</v>
      </c>
      <c r="D100" s="161" t="str">
        <f>IF(VLOOKUP($B100,'Satınalma Takvimi Veri Girişi'!$B$4:$AC$146,3,FALSE)&lt;&gt;"",VLOOKUP($B100,'Satınalma Takvimi Veri Girişi'!$B$4:$AC$146,3,FALSE),"")</f>
        <v/>
      </c>
      <c r="E100" s="139" t="str">
        <f>VLOOKUP($B100,Şablon!$E$3:$Q$255,3,FALSE)</f>
        <v>B KATEGORİ</v>
      </c>
      <c r="F100" s="140" t="str">
        <f>VLOOKUP($B100,Şablon!$E$3:$Q$255,4,FALSE)</f>
        <v>İNŞ</v>
      </c>
      <c r="G100" s="141">
        <f>VLOOKUP($B100,Şablon!$E$3:$Q$255,5,FALSE)</f>
        <v>0</v>
      </c>
      <c r="H100" s="142" t="str">
        <f t="shared" si="14"/>
        <v/>
      </c>
      <c r="I100" s="143" t="str">
        <f t="shared" si="15"/>
        <v/>
      </c>
      <c r="J100" s="144" t="str">
        <f>IF(VLOOKUP($B100,'Satınalma Takvimi Veri Girişi'!$B$4:$AC$146,7,FALSE)&lt;&gt;"",VLOOKUP($B100,'Satınalma Takvimi Veri Girişi'!$B$4:$AC$146,7,FALSE),"")</f>
        <v/>
      </c>
      <c r="K100" s="141">
        <f>VLOOKUP($B100,Şablon!$E$3:$Q$255,6,FALSE)</f>
        <v>14</v>
      </c>
      <c r="L100" s="142" t="str">
        <f t="shared" si="16"/>
        <v/>
      </c>
      <c r="M100" s="143" t="str">
        <f t="shared" si="17"/>
        <v/>
      </c>
      <c r="N100" s="144" t="str">
        <f>IF(VLOOKUP($B100,'Satınalma Takvimi Veri Girişi'!$B$4:$AC$146,9,FALSE)&lt;&gt;"",VLOOKUP($B100,'Satınalma Takvimi Veri Girişi'!$B$4:$AC$146,9,FALSE),"")</f>
        <v/>
      </c>
      <c r="O100" s="141">
        <f>VLOOKUP($B100,Şablon!$E$3:$Q$255,7,FALSE)</f>
        <v>7</v>
      </c>
      <c r="P100" s="142" t="str">
        <f t="shared" si="18"/>
        <v/>
      </c>
      <c r="Q100" s="143" t="str">
        <f t="shared" si="19"/>
        <v/>
      </c>
      <c r="R100" s="144" t="str">
        <f>IF(VLOOKUP($B100,'Satınalma Takvimi Veri Girişi'!$B$4:$AC$146,11,FALSE)&lt;&gt;"",VLOOKUP($B100,'Satınalma Takvimi Veri Girişi'!$B$4:$AC$146,11,FALSE),"")</f>
        <v/>
      </c>
      <c r="S100" s="141">
        <f>VLOOKUP($B100,Şablon!$E$3:$Q$255,8,FALSE)</f>
        <v>14</v>
      </c>
      <c r="T100" s="142" t="str">
        <f t="shared" si="20"/>
        <v/>
      </c>
      <c r="U100" s="143" t="str">
        <f t="shared" si="21"/>
        <v/>
      </c>
      <c r="V100" s="144" t="str">
        <f>IF(VLOOKUP($B100,'Satınalma Takvimi Veri Girişi'!$B$4:$AC$146,13,FALSE)&lt;&gt;"",VLOOKUP($B100,'Satınalma Takvimi Veri Girişi'!$B$4:$AC$146,13,FALSE),"")</f>
        <v/>
      </c>
      <c r="W100" s="141">
        <f>VLOOKUP($B100,Şablon!$E$3:$Q$255,9,FALSE)</f>
        <v>7</v>
      </c>
      <c r="X100" s="142" t="str">
        <f t="shared" si="22"/>
        <v/>
      </c>
      <c r="Y100" s="143" t="str">
        <f t="shared" si="23"/>
        <v/>
      </c>
      <c r="Z100" s="144" t="str">
        <f>IF(VLOOKUP($B100,'Satınalma Takvimi Veri Girişi'!$B$4:$AC$146,15,FALSE)&lt;&gt;"",VLOOKUP($B100,'Satınalma Takvimi Veri Girişi'!$B$4:$AC$146,15,FALSE),"")</f>
        <v/>
      </c>
      <c r="AA100" s="141">
        <f>VLOOKUP($B100,Şablon!$E$3:$Q$255,10,FALSE)</f>
        <v>7</v>
      </c>
      <c r="AB100" s="142" t="str">
        <f t="shared" si="24"/>
        <v/>
      </c>
      <c r="AC100" s="143" t="str">
        <f t="shared" si="25"/>
        <v/>
      </c>
      <c r="AD100" s="144" t="str">
        <f>IF(VLOOKUP($B100,'Satınalma Takvimi Veri Girişi'!$B$4:$AC$146,17,FALSE)&lt;&gt;"",VLOOKUP($B100,'Satınalma Takvimi Veri Girişi'!$B$4:$AC$146,17,FALSE),"")</f>
        <v/>
      </c>
      <c r="AE100" s="141">
        <f>(VLOOKUP($B100,Şablon!$E$3:$Q$255,11,FALSE)+VLOOKUP($B100,Şablon!$E$3:$Q$255,12,FALSE))</f>
        <v>7</v>
      </c>
      <c r="AF100" s="142" t="str">
        <f t="shared" si="26"/>
        <v/>
      </c>
      <c r="AG100" s="143" t="str">
        <f t="shared" si="27"/>
        <v/>
      </c>
      <c r="AH100" s="144" t="str">
        <f>IF(VLOOKUP($B100,'Satınalma Takvimi Veri Girişi'!$B$4:$AC$146,19,FALSE)&lt;&gt;"",VLOOKUP($B100,'Satınalma Takvimi Veri Girişi'!$B$4:$AC$146,19,FALSE),"")</f>
        <v/>
      </c>
      <c r="AI100" s="145" t="str">
        <f>IF(VLOOKUP($B100,'Satınalma Takvimi Veri Girişi'!$B$4:$AC$146,20,FALSE)&lt;&gt;"",VLOOKUP($B100,'Satınalma Takvimi Veri Girişi'!$B$4:$AC$146,20,FALSE),"")</f>
        <v/>
      </c>
      <c r="AJ100" s="144" t="str">
        <f>IF(VLOOKUP($B100,'Satınalma Takvimi Veri Girişi'!$B$4:$AC$146,21,FALSE)&lt;&gt;"",VLOOKUP($B100,'Satınalma Takvimi Veri Girişi'!$B$4:$AC$146,21,FALSE),"")</f>
        <v/>
      </c>
      <c r="AK100" s="146" t="str">
        <f>IF(VLOOKUP($B100,'Satınalma Takvimi Veri Girişi'!$B$4:$AC$146,22,FALSE)&lt;&gt;"",VLOOKUP($B100,'Satınalma Takvimi Veri Girişi'!$B$4:$AC$146,22,FALSE),"")</f>
        <v/>
      </c>
      <c r="AL100" s="147" t="str">
        <f>IF(VLOOKUP($B100,'Satınalma Takvimi Veri Girişi'!$B$4:$AC$146,23,FALSE)&lt;&gt;"",VLOOKUP($B100,'Satınalma Takvimi Veri Girişi'!$B$4:$AC$146,23,FALSE),"")</f>
        <v/>
      </c>
      <c r="AM100" s="147" t="str">
        <f>IF(VLOOKUP($B100,'Satınalma Takvimi Veri Girişi'!$B$4:$AC$146,24,FALSE)&lt;&gt;"",VLOOKUP($B100,'Satınalma Takvimi Veri Girişi'!$B$4:$AC$146,24,FALSE),"")</f>
        <v/>
      </c>
      <c r="AN100" s="147" t="str">
        <f>IF(VLOOKUP($B100,'Satınalma Takvimi Veri Girişi'!$B$4:$AC$146,25,FALSE)&lt;&gt;"",VLOOKUP($B100,'Satınalma Takvimi Veri Girişi'!$B$4:$AC$146,25,FALSE),"")</f>
        <v/>
      </c>
      <c r="AO100" s="147" t="str">
        <f>IF(VLOOKUP($B100,'Satınalma Takvimi Veri Girişi'!$B$4:$AC$146,26,FALSE)&lt;&gt;"",VLOOKUP($B100,'Satınalma Takvimi Veri Girişi'!$B$4:$AC$146,26,FALSE),"")</f>
        <v/>
      </c>
      <c r="AP100" s="147" t="str">
        <f>IF(VLOOKUP($B100,'Satınalma Takvimi Veri Girişi'!$B$4:$AC$146,27,FALSE)&lt;&gt;"",VLOOKUP($B100,'Satınalma Takvimi Veri Girişi'!$B$4:$AC$146,27,FALSE),"")</f>
        <v/>
      </c>
      <c r="AQ100" s="148" t="str">
        <f>IF(VLOOKUP($B100,'Satınalma Takvimi Veri Girişi'!$B$4:$AC$146,28,FALSE)&lt;&gt;"",VLOOKUP($B100,'Satınalma Takvimi Veri Girişi'!$B$4:$AC$146,28,FALSE),"")</f>
        <v/>
      </c>
    </row>
    <row r="101" spans="2:43" ht="19.8" customHeight="1" x14ac:dyDescent="0.3">
      <c r="B101" s="64" t="str">
        <f>Şablon!E100</f>
        <v>IHL.3028.095/1</v>
      </c>
      <c r="C101" s="139" t="str">
        <f>VLOOKUP($B101,Şablon!$E$3:$Q$255,2,FALSE)</f>
        <v>29.03.01 (M) PEYZAJ BASAMAK MALZEMELERİ</v>
      </c>
      <c r="D101" s="161" t="str">
        <f>IF(VLOOKUP($B101,'Satınalma Takvimi Veri Girişi'!$B$4:$AC$146,3,FALSE)&lt;&gt;"",VLOOKUP($B101,'Satınalma Takvimi Veri Girişi'!$B$4:$AC$146,3,FALSE),"")</f>
        <v/>
      </c>
      <c r="E101" s="139" t="str">
        <f>VLOOKUP($B101,Şablon!$E$3:$Q$255,3,FALSE)</f>
        <v>B KATEGORİ</v>
      </c>
      <c r="F101" s="140" t="str">
        <f>VLOOKUP($B101,Şablon!$E$3:$Q$255,4,FALSE)</f>
        <v>İNŞ</v>
      </c>
      <c r="G101" s="141">
        <f>VLOOKUP($B101,Şablon!$E$3:$Q$255,5,FALSE)</f>
        <v>0</v>
      </c>
      <c r="H101" s="142" t="str">
        <f t="shared" si="14"/>
        <v/>
      </c>
      <c r="I101" s="143" t="str">
        <f t="shared" si="15"/>
        <v/>
      </c>
      <c r="J101" s="144" t="str">
        <f>IF(VLOOKUP($B101,'Satınalma Takvimi Veri Girişi'!$B$4:$AC$146,7,FALSE)&lt;&gt;"",VLOOKUP($B101,'Satınalma Takvimi Veri Girişi'!$B$4:$AC$146,7,FALSE),"")</f>
        <v/>
      </c>
      <c r="K101" s="141">
        <f>VLOOKUP($B101,Şablon!$E$3:$Q$255,6,FALSE)</f>
        <v>14</v>
      </c>
      <c r="L101" s="142" t="str">
        <f t="shared" si="16"/>
        <v/>
      </c>
      <c r="M101" s="143" t="str">
        <f t="shared" si="17"/>
        <v/>
      </c>
      <c r="N101" s="144" t="str">
        <f>IF(VLOOKUP($B101,'Satınalma Takvimi Veri Girişi'!$B$4:$AC$146,9,FALSE)&lt;&gt;"",VLOOKUP($B101,'Satınalma Takvimi Veri Girişi'!$B$4:$AC$146,9,FALSE),"")</f>
        <v/>
      </c>
      <c r="O101" s="141">
        <f>VLOOKUP($B101,Şablon!$E$3:$Q$255,7,FALSE)</f>
        <v>7</v>
      </c>
      <c r="P101" s="142" t="str">
        <f t="shared" si="18"/>
        <v/>
      </c>
      <c r="Q101" s="143" t="str">
        <f t="shared" si="19"/>
        <v/>
      </c>
      <c r="R101" s="144" t="str">
        <f>IF(VLOOKUP($B101,'Satınalma Takvimi Veri Girişi'!$B$4:$AC$146,11,FALSE)&lt;&gt;"",VLOOKUP($B101,'Satınalma Takvimi Veri Girişi'!$B$4:$AC$146,11,FALSE),"")</f>
        <v/>
      </c>
      <c r="S101" s="141">
        <f>VLOOKUP($B101,Şablon!$E$3:$Q$255,8,FALSE)</f>
        <v>14</v>
      </c>
      <c r="T101" s="142" t="str">
        <f t="shared" si="20"/>
        <v/>
      </c>
      <c r="U101" s="143" t="str">
        <f t="shared" si="21"/>
        <v/>
      </c>
      <c r="V101" s="144" t="str">
        <f>IF(VLOOKUP($B101,'Satınalma Takvimi Veri Girişi'!$B$4:$AC$146,13,FALSE)&lt;&gt;"",VLOOKUP($B101,'Satınalma Takvimi Veri Girişi'!$B$4:$AC$146,13,FALSE),"")</f>
        <v/>
      </c>
      <c r="W101" s="141">
        <f>VLOOKUP($B101,Şablon!$E$3:$Q$255,9,FALSE)</f>
        <v>7</v>
      </c>
      <c r="X101" s="142" t="str">
        <f t="shared" si="22"/>
        <v/>
      </c>
      <c r="Y101" s="143" t="str">
        <f t="shared" si="23"/>
        <v/>
      </c>
      <c r="Z101" s="144" t="str">
        <f>IF(VLOOKUP($B101,'Satınalma Takvimi Veri Girişi'!$B$4:$AC$146,15,FALSE)&lt;&gt;"",VLOOKUP($B101,'Satınalma Takvimi Veri Girişi'!$B$4:$AC$146,15,FALSE),"")</f>
        <v/>
      </c>
      <c r="AA101" s="141">
        <f>VLOOKUP($B101,Şablon!$E$3:$Q$255,10,FALSE)</f>
        <v>7</v>
      </c>
      <c r="AB101" s="142" t="str">
        <f t="shared" si="24"/>
        <v/>
      </c>
      <c r="AC101" s="143" t="str">
        <f t="shared" si="25"/>
        <v/>
      </c>
      <c r="AD101" s="144" t="str">
        <f>IF(VLOOKUP($B101,'Satınalma Takvimi Veri Girişi'!$B$4:$AC$146,17,FALSE)&lt;&gt;"",VLOOKUP($B101,'Satınalma Takvimi Veri Girişi'!$B$4:$AC$146,17,FALSE),"")</f>
        <v/>
      </c>
      <c r="AE101" s="141">
        <f>(VLOOKUP($B101,Şablon!$E$3:$Q$255,11,FALSE)+VLOOKUP($B101,Şablon!$E$3:$Q$255,12,FALSE))</f>
        <v>35</v>
      </c>
      <c r="AF101" s="142" t="str">
        <f t="shared" si="26"/>
        <v/>
      </c>
      <c r="AG101" s="143" t="str">
        <f t="shared" si="27"/>
        <v/>
      </c>
      <c r="AH101" s="144" t="str">
        <f>IF(VLOOKUP($B101,'Satınalma Takvimi Veri Girişi'!$B$4:$AC$146,19,FALSE)&lt;&gt;"",VLOOKUP($B101,'Satınalma Takvimi Veri Girişi'!$B$4:$AC$146,19,FALSE),"")</f>
        <v/>
      </c>
      <c r="AI101" s="145" t="str">
        <f>IF(VLOOKUP($B101,'Satınalma Takvimi Veri Girişi'!$B$4:$AC$146,20,FALSE)&lt;&gt;"",VLOOKUP($B101,'Satınalma Takvimi Veri Girişi'!$B$4:$AC$146,20,FALSE),"")</f>
        <v/>
      </c>
      <c r="AJ101" s="144" t="str">
        <f>IF(VLOOKUP($B101,'Satınalma Takvimi Veri Girişi'!$B$4:$AC$146,21,FALSE)&lt;&gt;"",VLOOKUP($B101,'Satınalma Takvimi Veri Girişi'!$B$4:$AC$146,21,FALSE),"")</f>
        <v/>
      </c>
      <c r="AK101" s="146" t="str">
        <f>IF(VLOOKUP($B101,'Satınalma Takvimi Veri Girişi'!$B$4:$AC$146,22,FALSE)&lt;&gt;"",VLOOKUP($B101,'Satınalma Takvimi Veri Girişi'!$B$4:$AC$146,22,FALSE),"")</f>
        <v/>
      </c>
      <c r="AL101" s="147" t="str">
        <f>IF(VLOOKUP($B101,'Satınalma Takvimi Veri Girişi'!$B$4:$AC$146,23,FALSE)&lt;&gt;"",VLOOKUP($B101,'Satınalma Takvimi Veri Girişi'!$B$4:$AC$146,23,FALSE),"")</f>
        <v/>
      </c>
      <c r="AM101" s="147" t="str">
        <f>IF(VLOOKUP($B101,'Satınalma Takvimi Veri Girişi'!$B$4:$AC$146,24,FALSE)&lt;&gt;"",VLOOKUP($B101,'Satınalma Takvimi Veri Girişi'!$B$4:$AC$146,24,FALSE),"")</f>
        <v/>
      </c>
      <c r="AN101" s="147" t="str">
        <f>IF(VLOOKUP($B101,'Satınalma Takvimi Veri Girişi'!$B$4:$AC$146,25,FALSE)&lt;&gt;"",VLOOKUP($B101,'Satınalma Takvimi Veri Girişi'!$B$4:$AC$146,25,FALSE),"")</f>
        <v/>
      </c>
      <c r="AO101" s="147" t="str">
        <f>IF(VLOOKUP($B101,'Satınalma Takvimi Veri Girişi'!$B$4:$AC$146,26,FALSE)&lt;&gt;"",VLOOKUP($B101,'Satınalma Takvimi Veri Girişi'!$B$4:$AC$146,26,FALSE),"")</f>
        <v/>
      </c>
      <c r="AP101" s="147" t="str">
        <f>IF(VLOOKUP($B101,'Satınalma Takvimi Veri Girişi'!$B$4:$AC$146,27,FALSE)&lt;&gt;"",VLOOKUP($B101,'Satınalma Takvimi Veri Girişi'!$B$4:$AC$146,27,FALSE),"")</f>
        <v/>
      </c>
      <c r="AQ101" s="148" t="str">
        <f>IF(VLOOKUP($B101,'Satınalma Takvimi Veri Girişi'!$B$4:$AC$146,28,FALSE)&lt;&gt;"",VLOOKUP($B101,'Satınalma Takvimi Veri Girişi'!$B$4:$AC$146,28,FALSE),"")</f>
        <v/>
      </c>
    </row>
    <row r="102" spans="2:43" ht="19.8" customHeight="1" x14ac:dyDescent="0.3">
      <c r="B102" s="64" t="str">
        <f>Şablon!E101</f>
        <v>IHL.3028.096/1</v>
      </c>
      <c r="C102" s="139" t="str">
        <f>VLOOKUP($B102,Şablon!$E$3:$Q$255,2,FALSE)</f>
        <v>29.03.01 PEYZAJ BASAMAK İŞLERİ</v>
      </c>
      <c r="D102" s="161" t="str">
        <f>IF(VLOOKUP($B102,'Satınalma Takvimi Veri Girişi'!$B$4:$AC$146,3,FALSE)&lt;&gt;"",VLOOKUP($B102,'Satınalma Takvimi Veri Girişi'!$B$4:$AC$146,3,FALSE),"")</f>
        <v/>
      </c>
      <c r="E102" s="139" t="str">
        <f>VLOOKUP($B102,Şablon!$E$3:$Q$255,3,FALSE)</f>
        <v>B KATEGORİ</v>
      </c>
      <c r="F102" s="140" t="str">
        <f>VLOOKUP($B102,Şablon!$E$3:$Q$255,4,FALSE)</f>
        <v>İNŞ</v>
      </c>
      <c r="G102" s="141">
        <f>VLOOKUP($B102,Şablon!$E$3:$Q$255,5,FALSE)</f>
        <v>0</v>
      </c>
      <c r="H102" s="142" t="str">
        <f t="shared" si="14"/>
        <v/>
      </c>
      <c r="I102" s="143" t="str">
        <f t="shared" si="15"/>
        <v/>
      </c>
      <c r="J102" s="144" t="str">
        <f>IF(VLOOKUP($B102,'Satınalma Takvimi Veri Girişi'!$B$4:$AC$146,7,FALSE)&lt;&gt;"",VLOOKUP($B102,'Satınalma Takvimi Veri Girişi'!$B$4:$AC$146,7,FALSE),"")</f>
        <v/>
      </c>
      <c r="K102" s="141">
        <f>VLOOKUP($B102,Şablon!$E$3:$Q$255,6,FALSE)</f>
        <v>14</v>
      </c>
      <c r="L102" s="142" t="str">
        <f t="shared" si="16"/>
        <v/>
      </c>
      <c r="M102" s="143" t="str">
        <f t="shared" si="17"/>
        <v/>
      </c>
      <c r="N102" s="144" t="str">
        <f>IF(VLOOKUP($B102,'Satınalma Takvimi Veri Girişi'!$B$4:$AC$146,9,FALSE)&lt;&gt;"",VLOOKUP($B102,'Satınalma Takvimi Veri Girişi'!$B$4:$AC$146,9,FALSE),"")</f>
        <v/>
      </c>
      <c r="O102" s="141">
        <f>VLOOKUP($B102,Şablon!$E$3:$Q$255,7,FALSE)</f>
        <v>7</v>
      </c>
      <c r="P102" s="142" t="str">
        <f t="shared" si="18"/>
        <v/>
      </c>
      <c r="Q102" s="143" t="str">
        <f t="shared" si="19"/>
        <v/>
      </c>
      <c r="R102" s="144" t="str">
        <f>IF(VLOOKUP($B102,'Satınalma Takvimi Veri Girişi'!$B$4:$AC$146,11,FALSE)&lt;&gt;"",VLOOKUP($B102,'Satınalma Takvimi Veri Girişi'!$B$4:$AC$146,11,FALSE),"")</f>
        <v/>
      </c>
      <c r="S102" s="141">
        <f>VLOOKUP($B102,Şablon!$E$3:$Q$255,8,FALSE)</f>
        <v>14</v>
      </c>
      <c r="T102" s="142" t="str">
        <f t="shared" si="20"/>
        <v/>
      </c>
      <c r="U102" s="143" t="str">
        <f t="shared" si="21"/>
        <v/>
      </c>
      <c r="V102" s="144" t="str">
        <f>IF(VLOOKUP($B102,'Satınalma Takvimi Veri Girişi'!$B$4:$AC$146,13,FALSE)&lt;&gt;"",VLOOKUP($B102,'Satınalma Takvimi Veri Girişi'!$B$4:$AC$146,13,FALSE),"")</f>
        <v/>
      </c>
      <c r="W102" s="141">
        <f>VLOOKUP($B102,Şablon!$E$3:$Q$255,9,FALSE)</f>
        <v>7</v>
      </c>
      <c r="X102" s="142" t="str">
        <f t="shared" si="22"/>
        <v/>
      </c>
      <c r="Y102" s="143" t="str">
        <f t="shared" si="23"/>
        <v/>
      </c>
      <c r="Z102" s="144" t="str">
        <f>IF(VLOOKUP($B102,'Satınalma Takvimi Veri Girişi'!$B$4:$AC$146,15,FALSE)&lt;&gt;"",VLOOKUP($B102,'Satınalma Takvimi Veri Girişi'!$B$4:$AC$146,15,FALSE),"")</f>
        <v/>
      </c>
      <c r="AA102" s="141">
        <f>VLOOKUP($B102,Şablon!$E$3:$Q$255,10,FALSE)</f>
        <v>7</v>
      </c>
      <c r="AB102" s="142" t="str">
        <f t="shared" si="24"/>
        <v/>
      </c>
      <c r="AC102" s="143" t="str">
        <f t="shared" si="25"/>
        <v/>
      </c>
      <c r="AD102" s="144" t="str">
        <f>IF(VLOOKUP($B102,'Satınalma Takvimi Veri Girişi'!$B$4:$AC$146,17,FALSE)&lt;&gt;"",VLOOKUP($B102,'Satınalma Takvimi Veri Girişi'!$B$4:$AC$146,17,FALSE),"")</f>
        <v/>
      </c>
      <c r="AE102" s="141">
        <f>(VLOOKUP($B102,Şablon!$E$3:$Q$255,11,FALSE)+VLOOKUP($B102,Şablon!$E$3:$Q$255,12,FALSE))</f>
        <v>7</v>
      </c>
      <c r="AF102" s="142" t="str">
        <f t="shared" si="26"/>
        <v/>
      </c>
      <c r="AG102" s="143" t="str">
        <f t="shared" si="27"/>
        <v/>
      </c>
      <c r="AH102" s="144" t="str">
        <f>IF(VLOOKUP($B102,'Satınalma Takvimi Veri Girişi'!$B$4:$AC$146,19,FALSE)&lt;&gt;"",VLOOKUP($B102,'Satınalma Takvimi Veri Girişi'!$B$4:$AC$146,19,FALSE),"")</f>
        <v/>
      </c>
      <c r="AI102" s="145" t="str">
        <f>IF(VLOOKUP($B102,'Satınalma Takvimi Veri Girişi'!$B$4:$AC$146,20,FALSE)&lt;&gt;"",VLOOKUP($B102,'Satınalma Takvimi Veri Girişi'!$B$4:$AC$146,20,FALSE),"")</f>
        <v/>
      </c>
      <c r="AJ102" s="144" t="str">
        <f>IF(VLOOKUP($B102,'Satınalma Takvimi Veri Girişi'!$B$4:$AC$146,21,FALSE)&lt;&gt;"",VLOOKUP($B102,'Satınalma Takvimi Veri Girişi'!$B$4:$AC$146,21,FALSE),"")</f>
        <v/>
      </c>
      <c r="AK102" s="146" t="str">
        <f>IF(VLOOKUP($B102,'Satınalma Takvimi Veri Girişi'!$B$4:$AC$146,22,FALSE)&lt;&gt;"",VLOOKUP($B102,'Satınalma Takvimi Veri Girişi'!$B$4:$AC$146,22,FALSE),"")</f>
        <v/>
      </c>
      <c r="AL102" s="147" t="str">
        <f>IF(VLOOKUP($B102,'Satınalma Takvimi Veri Girişi'!$B$4:$AC$146,23,FALSE)&lt;&gt;"",VLOOKUP($B102,'Satınalma Takvimi Veri Girişi'!$B$4:$AC$146,23,FALSE),"")</f>
        <v/>
      </c>
      <c r="AM102" s="147" t="str">
        <f>IF(VLOOKUP($B102,'Satınalma Takvimi Veri Girişi'!$B$4:$AC$146,24,FALSE)&lt;&gt;"",VLOOKUP($B102,'Satınalma Takvimi Veri Girişi'!$B$4:$AC$146,24,FALSE),"")</f>
        <v/>
      </c>
      <c r="AN102" s="147" t="str">
        <f>IF(VLOOKUP($B102,'Satınalma Takvimi Veri Girişi'!$B$4:$AC$146,25,FALSE)&lt;&gt;"",VLOOKUP($B102,'Satınalma Takvimi Veri Girişi'!$B$4:$AC$146,25,FALSE),"")</f>
        <v/>
      </c>
      <c r="AO102" s="147" t="str">
        <f>IF(VLOOKUP($B102,'Satınalma Takvimi Veri Girişi'!$B$4:$AC$146,26,FALSE)&lt;&gt;"",VLOOKUP($B102,'Satınalma Takvimi Veri Girişi'!$B$4:$AC$146,26,FALSE),"")</f>
        <v/>
      </c>
      <c r="AP102" s="147" t="str">
        <f>IF(VLOOKUP($B102,'Satınalma Takvimi Veri Girişi'!$B$4:$AC$146,27,FALSE)&lt;&gt;"",VLOOKUP($B102,'Satınalma Takvimi Veri Girişi'!$B$4:$AC$146,27,FALSE),"")</f>
        <v/>
      </c>
      <c r="AQ102" s="148" t="str">
        <f>IF(VLOOKUP($B102,'Satınalma Takvimi Veri Girişi'!$B$4:$AC$146,28,FALSE)&lt;&gt;"",VLOOKUP($B102,'Satınalma Takvimi Veri Girişi'!$B$4:$AC$146,28,FALSE),"")</f>
        <v/>
      </c>
    </row>
    <row r="103" spans="2:43" ht="19.8" customHeight="1" x14ac:dyDescent="0.3">
      <c r="B103" s="64" t="str">
        <f>Şablon!E102</f>
        <v>IHL.3028.097/1</v>
      </c>
      <c r="C103" s="139" t="str">
        <f>VLOOKUP($B103,Şablon!$E$3:$Q$255,2,FALSE)</f>
        <v>29.04.00 (M) THERMOWOOD MALZEMELERİ</v>
      </c>
      <c r="D103" s="161" t="str">
        <f>IF(VLOOKUP($B103,'Satınalma Takvimi Veri Girişi'!$B$4:$AC$146,3,FALSE)&lt;&gt;"",VLOOKUP($B103,'Satınalma Takvimi Veri Girişi'!$B$4:$AC$146,3,FALSE),"")</f>
        <v/>
      </c>
      <c r="E103" s="139" t="str">
        <f>VLOOKUP($B103,Şablon!$E$3:$Q$255,3,FALSE)</f>
        <v>B KATEGORİ</v>
      </c>
      <c r="F103" s="140" t="str">
        <f>VLOOKUP($B103,Şablon!$E$3:$Q$255,4,FALSE)</f>
        <v>İNŞ</v>
      </c>
      <c r="G103" s="141">
        <f>VLOOKUP($B103,Şablon!$E$3:$Q$255,5,FALSE)</f>
        <v>0</v>
      </c>
      <c r="H103" s="142" t="str">
        <f t="shared" si="14"/>
        <v/>
      </c>
      <c r="I103" s="143" t="str">
        <f t="shared" si="15"/>
        <v/>
      </c>
      <c r="J103" s="144" t="str">
        <f>IF(VLOOKUP($B103,'Satınalma Takvimi Veri Girişi'!$B$4:$AC$146,7,FALSE)&lt;&gt;"",VLOOKUP($B103,'Satınalma Takvimi Veri Girişi'!$B$4:$AC$146,7,FALSE),"")</f>
        <v/>
      </c>
      <c r="K103" s="141">
        <f>VLOOKUP($B103,Şablon!$E$3:$Q$255,6,FALSE)</f>
        <v>14</v>
      </c>
      <c r="L103" s="142" t="str">
        <f t="shared" si="16"/>
        <v/>
      </c>
      <c r="M103" s="143" t="str">
        <f t="shared" si="17"/>
        <v/>
      </c>
      <c r="N103" s="144" t="str">
        <f>IF(VLOOKUP($B103,'Satınalma Takvimi Veri Girişi'!$B$4:$AC$146,9,FALSE)&lt;&gt;"",VLOOKUP($B103,'Satınalma Takvimi Veri Girişi'!$B$4:$AC$146,9,FALSE),"")</f>
        <v/>
      </c>
      <c r="O103" s="141">
        <f>VLOOKUP($B103,Şablon!$E$3:$Q$255,7,FALSE)</f>
        <v>7</v>
      </c>
      <c r="P103" s="142" t="str">
        <f t="shared" si="18"/>
        <v/>
      </c>
      <c r="Q103" s="143" t="str">
        <f t="shared" si="19"/>
        <v/>
      </c>
      <c r="R103" s="144" t="str">
        <f>IF(VLOOKUP($B103,'Satınalma Takvimi Veri Girişi'!$B$4:$AC$146,11,FALSE)&lt;&gt;"",VLOOKUP($B103,'Satınalma Takvimi Veri Girişi'!$B$4:$AC$146,11,FALSE),"")</f>
        <v/>
      </c>
      <c r="S103" s="141">
        <f>VLOOKUP($B103,Şablon!$E$3:$Q$255,8,FALSE)</f>
        <v>14</v>
      </c>
      <c r="T103" s="142" t="str">
        <f t="shared" si="20"/>
        <v/>
      </c>
      <c r="U103" s="143" t="str">
        <f t="shared" si="21"/>
        <v/>
      </c>
      <c r="V103" s="144" t="str">
        <f>IF(VLOOKUP($B103,'Satınalma Takvimi Veri Girişi'!$B$4:$AC$146,13,FALSE)&lt;&gt;"",VLOOKUP($B103,'Satınalma Takvimi Veri Girişi'!$B$4:$AC$146,13,FALSE),"")</f>
        <v/>
      </c>
      <c r="W103" s="141">
        <f>VLOOKUP($B103,Şablon!$E$3:$Q$255,9,FALSE)</f>
        <v>7</v>
      </c>
      <c r="X103" s="142" t="str">
        <f t="shared" si="22"/>
        <v/>
      </c>
      <c r="Y103" s="143" t="str">
        <f t="shared" si="23"/>
        <v/>
      </c>
      <c r="Z103" s="144" t="str">
        <f>IF(VLOOKUP($B103,'Satınalma Takvimi Veri Girişi'!$B$4:$AC$146,15,FALSE)&lt;&gt;"",VLOOKUP($B103,'Satınalma Takvimi Veri Girişi'!$B$4:$AC$146,15,FALSE),"")</f>
        <v/>
      </c>
      <c r="AA103" s="141">
        <f>VLOOKUP($B103,Şablon!$E$3:$Q$255,10,FALSE)</f>
        <v>7</v>
      </c>
      <c r="AB103" s="142" t="str">
        <f t="shared" si="24"/>
        <v/>
      </c>
      <c r="AC103" s="143" t="str">
        <f t="shared" si="25"/>
        <v/>
      </c>
      <c r="AD103" s="144" t="str">
        <f>IF(VLOOKUP($B103,'Satınalma Takvimi Veri Girişi'!$B$4:$AC$146,17,FALSE)&lt;&gt;"",VLOOKUP($B103,'Satınalma Takvimi Veri Girişi'!$B$4:$AC$146,17,FALSE),"")</f>
        <v/>
      </c>
      <c r="AE103" s="141">
        <f>(VLOOKUP($B103,Şablon!$E$3:$Q$255,11,FALSE)+VLOOKUP($B103,Şablon!$E$3:$Q$255,12,FALSE))</f>
        <v>28</v>
      </c>
      <c r="AF103" s="142" t="str">
        <f t="shared" si="26"/>
        <v/>
      </c>
      <c r="AG103" s="143" t="str">
        <f t="shared" si="27"/>
        <v/>
      </c>
      <c r="AH103" s="144" t="str">
        <f>IF(VLOOKUP($B103,'Satınalma Takvimi Veri Girişi'!$B$4:$AC$146,19,FALSE)&lt;&gt;"",VLOOKUP($B103,'Satınalma Takvimi Veri Girişi'!$B$4:$AC$146,19,FALSE),"")</f>
        <v/>
      </c>
      <c r="AI103" s="145" t="str">
        <f>IF(VLOOKUP($B103,'Satınalma Takvimi Veri Girişi'!$B$4:$AC$146,20,FALSE)&lt;&gt;"",VLOOKUP($B103,'Satınalma Takvimi Veri Girişi'!$B$4:$AC$146,20,FALSE),"")</f>
        <v/>
      </c>
      <c r="AJ103" s="144" t="str">
        <f>IF(VLOOKUP($B103,'Satınalma Takvimi Veri Girişi'!$B$4:$AC$146,21,FALSE)&lt;&gt;"",VLOOKUP($B103,'Satınalma Takvimi Veri Girişi'!$B$4:$AC$146,21,FALSE),"")</f>
        <v/>
      </c>
      <c r="AK103" s="146" t="str">
        <f>IF(VLOOKUP($B103,'Satınalma Takvimi Veri Girişi'!$B$4:$AC$146,22,FALSE)&lt;&gt;"",VLOOKUP($B103,'Satınalma Takvimi Veri Girişi'!$B$4:$AC$146,22,FALSE),"")</f>
        <v/>
      </c>
      <c r="AL103" s="147" t="str">
        <f>IF(VLOOKUP($B103,'Satınalma Takvimi Veri Girişi'!$B$4:$AC$146,23,FALSE)&lt;&gt;"",VLOOKUP($B103,'Satınalma Takvimi Veri Girişi'!$B$4:$AC$146,23,FALSE),"")</f>
        <v/>
      </c>
      <c r="AM103" s="147" t="str">
        <f>IF(VLOOKUP($B103,'Satınalma Takvimi Veri Girişi'!$B$4:$AC$146,24,FALSE)&lt;&gt;"",VLOOKUP($B103,'Satınalma Takvimi Veri Girişi'!$B$4:$AC$146,24,FALSE),"")</f>
        <v/>
      </c>
      <c r="AN103" s="147" t="str">
        <f>IF(VLOOKUP($B103,'Satınalma Takvimi Veri Girişi'!$B$4:$AC$146,25,FALSE)&lt;&gt;"",VLOOKUP($B103,'Satınalma Takvimi Veri Girişi'!$B$4:$AC$146,25,FALSE),"")</f>
        <v/>
      </c>
      <c r="AO103" s="147" t="str">
        <f>IF(VLOOKUP($B103,'Satınalma Takvimi Veri Girişi'!$B$4:$AC$146,26,FALSE)&lt;&gt;"",VLOOKUP($B103,'Satınalma Takvimi Veri Girişi'!$B$4:$AC$146,26,FALSE),"")</f>
        <v/>
      </c>
      <c r="AP103" s="147" t="str">
        <f>IF(VLOOKUP($B103,'Satınalma Takvimi Veri Girişi'!$B$4:$AC$146,27,FALSE)&lt;&gt;"",VLOOKUP($B103,'Satınalma Takvimi Veri Girişi'!$B$4:$AC$146,27,FALSE),"")</f>
        <v/>
      </c>
      <c r="AQ103" s="148" t="str">
        <f>IF(VLOOKUP($B103,'Satınalma Takvimi Veri Girişi'!$B$4:$AC$146,28,FALSE)&lt;&gt;"",VLOOKUP($B103,'Satınalma Takvimi Veri Girişi'!$B$4:$AC$146,28,FALSE),"")</f>
        <v/>
      </c>
    </row>
    <row r="104" spans="2:43" ht="19.8" customHeight="1" x14ac:dyDescent="0.3">
      <c r="B104" s="64" t="str">
        <f>Şablon!E103</f>
        <v>IHL.3028.098/1</v>
      </c>
      <c r="C104" s="139" t="str">
        <f>VLOOKUP($B104,Şablon!$E$3:$Q$255,2,FALSE)</f>
        <v>29.04.00 THERMOWOOD İŞLERİ</v>
      </c>
      <c r="D104" s="161" t="str">
        <f>IF(VLOOKUP($B104,'Satınalma Takvimi Veri Girişi'!$B$4:$AC$146,3,FALSE)&lt;&gt;"",VLOOKUP($B104,'Satınalma Takvimi Veri Girişi'!$B$4:$AC$146,3,FALSE),"")</f>
        <v/>
      </c>
      <c r="E104" s="139" t="str">
        <f>VLOOKUP($B104,Şablon!$E$3:$Q$255,3,FALSE)</f>
        <v>B KATEGORİ</v>
      </c>
      <c r="F104" s="140" t="str">
        <f>VLOOKUP($B104,Şablon!$E$3:$Q$255,4,FALSE)</f>
        <v>İNŞ</v>
      </c>
      <c r="G104" s="141">
        <f>VLOOKUP($B104,Şablon!$E$3:$Q$255,5,FALSE)</f>
        <v>0</v>
      </c>
      <c r="H104" s="142" t="str">
        <f t="shared" si="14"/>
        <v/>
      </c>
      <c r="I104" s="143" t="str">
        <f t="shared" si="15"/>
        <v/>
      </c>
      <c r="J104" s="144" t="str">
        <f>IF(VLOOKUP($B104,'Satınalma Takvimi Veri Girişi'!$B$4:$AC$146,7,FALSE)&lt;&gt;"",VLOOKUP($B104,'Satınalma Takvimi Veri Girişi'!$B$4:$AC$146,7,FALSE),"")</f>
        <v/>
      </c>
      <c r="K104" s="141">
        <f>VLOOKUP($B104,Şablon!$E$3:$Q$255,6,FALSE)</f>
        <v>14</v>
      </c>
      <c r="L104" s="142" t="str">
        <f t="shared" si="16"/>
        <v/>
      </c>
      <c r="M104" s="143" t="str">
        <f t="shared" si="17"/>
        <v/>
      </c>
      <c r="N104" s="144" t="str">
        <f>IF(VLOOKUP($B104,'Satınalma Takvimi Veri Girişi'!$B$4:$AC$146,9,FALSE)&lt;&gt;"",VLOOKUP($B104,'Satınalma Takvimi Veri Girişi'!$B$4:$AC$146,9,FALSE),"")</f>
        <v/>
      </c>
      <c r="O104" s="141">
        <f>VLOOKUP($B104,Şablon!$E$3:$Q$255,7,FALSE)</f>
        <v>7</v>
      </c>
      <c r="P104" s="142" t="str">
        <f t="shared" si="18"/>
        <v/>
      </c>
      <c r="Q104" s="143" t="str">
        <f t="shared" si="19"/>
        <v/>
      </c>
      <c r="R104" s="144" t="str">
        <f>IF(VLOOKUP($B104,'Satınalma Takvimi Veri Girişi'!$B$4:$AC$146,11,FALSE)&lt;&gt;"",VLOOKUP($B104,'Satınalma Takvimi Veri Girişi'!$B$4:$AC$146,11,FALSE),"")</f>
        <v/>
      </c>
      <c r="S104" s="141">
        <f>VLOOKUP($B104,Şablon!$E$3:$Q$255,8,FALSE)</f>
        <v>14</v>
      </c>
      <c r="T104" s="142" t="str">
        <f t="shared" si="20"/>
        <v/>
      </c>
      <c r="U104" s="143" t="str">
        <f t="shared" si="21"/>
        <v/>
      </c>
      <c r="V104" s="144" t="str">
        <f>IF(VLOOKUP($B104,'Satınalma Takvimi Veri Girişi'!$B$4:$AC$146,13,FALSE)&lt;&gt;"",VLOOKUP($B104,'Satınalma Takvimi Veri Girişi'!$B$4:$AC$146,13,FALSE),"")</f>
        <v/>
      </c>
      <c r="W104" s="141">
        <f>VLOOKUP($B104,Şablon!$E$3:$Q$255,9,FALSE)</f>
        <v>7</v>
      </c>
      <c r="X104" s="142" t="str">
        <f t="shared" si="22"/>
        <v/>
      </c>
      <c r="Y104" s="143" t="str">
        <f t="shared" si="23"/>
        <v/>
      </c>
      <c r="Z104" s="144" t="str">
        <f>IF(VLOOKUP($B104,'Satınalma Takvimi Veri Girişi'!$B$4:$AC$146,15,FALSE)&lt;&gt;"",VLOOKUP($B104,'Satınalma Takvimi Veri Girişi'!$B$4:$AC$146,15,FALSE),"")</f>
        <v/>
      </c>
      <c r="AA104" s="141">
        <f>VLOOKUP($B104,Şablon!$E$3:$Q$255,10,FALSE)</f>
        <v>7</v>
      </c>
      <c r="AB104" s="142" t="str">
        <f t="shared" si="24"/>
        <v/>
      </c>
      <c r="AC104" s="143" t="str">
        <f t="shared" si="25"/>
        <v/>
      </c>
      <c r="AD104" s="144" t="str">
        <f>IF(VLOOKUP($B104,'Satınalma Takvimi Veri Girişi'!$B$4:$AC$146,17,FALSE)&lt;&gt;"",VLOOKUP($B104,'Satınalma Takvimi Veri Girişi'!$B$4:$AC$146,17,FALSE),"")</f>
        <v/>
      </c>
      <c r="AE104" s="141">
        <f>(VLOOKUP($B104,Şablon!$E$3:$Q$255,11,FALSE)+VLOOKUP($B104,Şablon!$E$3:$Q$255,12,FALSE))</f>
        <v>7</v>
      </c>
      <c r="AF104" s="142" t="str">
        <f t="shared" si="26"/>
        <v/>
      </c>
      <c r="AG104" s="143" t="str">
        <f t="shared" si="27"/>
        <v/>
      </c>
      <c r="AH104" s="144" t="str">
        <f>IF(VLOOKUP($B104,'Satınalma Takvimi Veri Girişi'!$B$4:$AC$146,19,FALSE)&lt;&gt;"",VLOOKUP($B104,'Satınalma Takvimi Veri Girişi'!$B$4:$AC$146,19,FALSE),"")</f>
        <v/>
      </c>
      <c r="AI104" s="145" t="str">
        <f>IF(VLOOKUP($B104,'Satınalma Takvimi Veri Girişi'!$B$4:$AC$146,20,FALSE)&lt;&gt;"",VLOOKUP($B104,'Satınalma Takvimi Veri Girişi'!$B$4:$AC$146,20,FALSE),"")</f>
        <v/>
      </c>
      <c r="AJ104" s="144" t="str">
        <f>IF(VLOOKUP($B104,'Satınalma Takvimi Veri Girişi'!$B$4:$AC$146,21,FALSE)&lt;&gt;"",VLOOKUP($B104,'Satınalma Takvimi Veri Girişi'!$B$4:$AC$146,21,FALSE),"")</f>
        <v/>
      </c>
      <c r="AK104" s="146" t="str">
        <f>IF(VLOOKUP($B104,'Satınalma Takvimi Veri Girişi'!$B$4:$AC$146,22,FALSE)&lt;&gt;"",VLOOKUP($B104,'Satınalma Takvimi Veri Girişi'!$B$4:$AC$146,22,FALSE),"")</f>
        <v/>
      </c>
      <c r="AL104" s="147" t="str">
        <f>IF(VLOOKUP($B104,'Satınalma Takvimi Veri Girişi'!$B$4:$AC$146,23,FALSE)&lt;&gt;"",VLOOKUP($B104,'Satınalma Takvimi Veri Girişi'!$B$4:$AC$146,23,FALSE),"")</f>
        <v/>
      </c>
      <c r="AM104" s="147" t="str">
        <f>IF(VLOOKUP($B104,'Satınalma Takvimi Veri Girişi'!$B$4:$AC$146,24,FALSE)&lt;&gt;"",VLOOKUP($B104,'Satınalma Takvimi Veri Girişi'!$B$4:$AC$146,24,FALSE),"")</f>
        <v/>
      </c>
      <c r="AN104" s="147" t="str">
        <f>IF(VLOOKUP($B104,'Satınalma Takvimi Veri Girişi'!$B$4:$AC$146,25,FALSE)&lt;&gt;"",VLOOKUP($B104,'Satınalma Takvimi Veri Girişi'!$B$4:$AC$146,25,FALSE),"")</f>
        <v/>
      </c>
      <c r="AO104" s="147" t="str">
        <f>IF(VLOOKUP($B104,'Satınalma Takvimi Veri Girişi'!$B$4:$AC$146,26,FALSE)&lt;&gt;"",VLOOKUP($B104,'Satınalma Takvimi Veri Girişi'!$B$4:$AC$146,26,FALSE),"")</f>
        <v/>
      </c>
      <c r="AP104" s="147" t="str">
        <f>IF(VLOOKUP($B104,'Satınalma Takvimi Veri Girişi'!$B$4:$AC$146,27,FALSE)&lt;&gt;"",VLOOKUP($B104,'Satınalma Takvimi Veri Girişi'!$B$4:$AC$146,27,FALSE),"")</f>
        <v/>
      </c>
      <c r="AQ104" s="148" t="str">
        <f>IF(VLOOKUP($B104,'Satınalma Takvimi Veri Girişi'!$B$4:$AC$146,28,FALSE)&lt;&gt;"",VLOOKUP($B104,'Satınalma Takvimi Veri Girişi'!$B$4:$AC$146,28,FALSE),"")</f>
        <v/>
      </c>
    </row>
    <row r="105" spans="2:43" ht="19.8" customHeight="1" x14ac:dyDescent="0.3">
      <c r="B105" s="64" t="str">
        <f>Şablon!E104</f>
        <v>IHL.3028.099/1</v>
      </c>
      <c r="C105" s="139" t="str">
        <f>VLOOKUP($B105,Şablon!$E$3:$Q$255,2,FALSE)</f>
        <v>29.01.00 BİTKİSEL PEYZAJ İŞLERİ</v>
      </c>
      <c r="D105" s="161" t="str">
        <f>IF(VLOOKUP($B105,'Satınalma Takvimi Veri Girişi'!$B$4:$AC$146,3,FALSE)&lt;&gt;"",VLOOKUP($B105,'Satınalma Takvimi Veri Girişi'!$B$4:$AC$146,3,FALSE),"")</f>
        <v/>
      </c>
      <c r="E105" s="139" t="str">
        <f>VLOOKUP($B105,Şablon!$E$3:$Q$255,3,FALSE)</f>
        <v>A KATEGORİ</v>
      </c>
      <c r="F105" s="140" t="str">
        <f>VLOOKUP($B105,Şablon!$E$3:$Q$255,4,FALSE)</f>
        <v>İNŞ</v>
      </c>
      <c r="G105" s="141">
        <f>VLOOKUP($B105,Şablon!$E$3:$Q$255,5,FALSE)</f>
        <v>0</v>
      </c>
      <c r="H105" s="142" t="str">
        <f t="shared" si="14"/>
        <v/>
      </c>
      <c r="I105" s="143" t="str">
        <f t="shared" si="15"/>
        <v/>
      </c>
      <c r="J105" s="144" t="str">
        <f>IF(VLOOKUP($B105,'Satınalma Takvimi Veri Girişi'!$B$4:$AC$146,7,FALSE)&lt;&gt;"",VLOOKUP($B105,'Satınalma Takvimi Veri Girişi'!$B$4:$AC$146,7,FALSE),"")</f>
        <v/>
      </c>
      <c r="K105" s="141">
        <f>VLOOKUP($B105,Şablon!$E$3:$Q$255,6,FALSE)</f>
        <v>21</v>
      </c>
      <c r="L105" s="142" t="str">
        <f t="shared" si="16"/>
        <v/>
      </c>
      <c r="M105" s="143" t="str">
        <f t="shared" si="17"/>
        <v/>
      </c>
      <c r="N105" s="144" t="str">
        <f>IF(VLOOKUP($B105,'Satınalma Takvimi Veri Girişi'!$B$4:$AC$146,9,FALSE)&lt;&gt;"",VLOOKUP($B105,'Satınalma Takvimi Veri Girişi'!$B$4:$AC$146,9,FALSE),"")</f>
        <v/>
      </c>
      <c r="O105" s="141">
        <f>VLOOKUP($B105,Şablon!$E$3:$Q$255,7,FALSE)</f>
        <v>14</v>
      </c>
      <c r="P105" s="142" t="str">
        <f t="shared" si="18"/>
        <v/>
      </c>
      <c r="Q105" s="143" t="str">
        <f t="shared" si="19"/>
        <v/>
      </c>
      <c r="R105" s="144" t="str">
        <f>IF(VLOOKUP($B105,'Satınalma Takvimi Veri Girişi'!$B$4:$AC$146,11,FALSE)&lt;&gt;"",VLOOKUP($B105,'Satınalma Takvimi Veri Girişi'!$B$4:$AC$146,11,FALSE),"")</f>
        <v/>
      </c>
      <c r="S105" s="141">
        <f>VLOOKUP($B105,Şablon!$E$3:$Q$255,8,FALSE)</f>
        <v>45</v>
      </c>
      <c r="T105" s="142" t="str">
        <f t="shared" si="20"/>
        <v/>
      </c>
      <c r="U105" s="143" t="str">
        <f t="shared" si="21"/>
        <v/>
      </c>
      <c r="V105" s="144" t="str">
        <f>IF(VLOOKUP($B105,'Satınalma Takvimi Veri Girişi'!$B$4:$AC$146,13,FALSE)&lt;&gt;"",VLOOKUP($B105,'Satınalma Takvimi Veri Girişi'!$B$4:$AC$146,13,FALSE),"")</f>
        <v/>
      </c>
      <c r="W105" s="141">
        <f>VLOOKUP($B105,Şablon!$E$3:$Q$255,9,FALSE)</f>
        <v>10</v>
      </c>
      <c r="X105" s="142" t="str">
        <f t="shared" si="22"/>
        <v/>
      </c>
      <c r="Y105" s="143" t="str">
        <f t="shared" si="23"/>
        <v/>
      </c>
      <c r="Z105" s="144" t="str">
        <f>IF(VLOOKUP($B105,'Satınalma Takvimi Veri Girişi'!$B$4:$AC$146,15,FALSE)&lt;&gt;"",VLOOKUP($B105,'Satınalma Takvimi Veri Girişi'!$B$4:$AC$146,15,FALSE),"")</f>
        <v/>
      </c>
      <c r="AA105" s="141">
        <f>VLOOKUP($B105,Şablon!$E$3:$Q$255,10,FALSE)</f>
        <v>14</v>
      </c>
      <c r="AB105" s="142" t="str">
        <f t="shared" si="24"/>
        <v/>
      </c>
      <c r="AC105" s="143" t="str">
        <f t="shared" si="25"/>
        <v/>
      </c>
      <c r="AD105" s="144" t="str">
        <f>IF(VLOOKUP($B105,'Satınalma Takvimi Veri Girişi'!$B$4:$AC$146,17,FALSE)&lt;&gt;"",VLOOKUP($B105,'Satınalma Takvimi Veri Girişi'!$B$4:$AC$146,17,FALSE),"")</f>
        <v/>
      </c>
      <c r="AE105" s="141">
        <f>(VLOOKUP($B105,Şablon!$E$3:$Q$255,11,FALSE)+VLOOKUP($B105,Şablon!$E$3:$Q$255,12,FALSE))</f>
        <v>21</v>
      </c>
      <c r="AF105" s="142" t="str">
        <f t="shared" si="26"/>
        <v/>
      </c>
      <c r="AG105" s="143" t="str">
        <f t="shared" si="27"/>
        <v/>
      </c>
      <c r="AH105" s="144" t="str">
        <f>IF(VLOOKUP($B105,'Satınalma Takvimi Veri Girişi'!$B$4:$AC$146,19,FALSE)&lt;&gt;"",VLOOKUP($B105,'Satınalma Takvimi Veri Girişi'!$B$4:$AC$146,19,FALSE),"")</f>
        <v/>
      </c>
      <c r="AI105" s="145" t="str">
        <f>IF(VLOOKUP($B105,'Satınalma Takvimi Veri Girişi'!$B$4:$AC$146,20,FALSE)&lt;&gt;"",VLOOKUP($B105,'Satınalma Takvimi Veri Girişi'!$B$4:$AC$146,20,FALSE),"")</f>
        <v/>
      </c>
      <c r="AJ105" s="144" t="str">
        <f>IF(VLOOKUP($B105,'Satınalma Takvimi Veri Girişi'!$B$4:$AC$146,21,FALSE)&lt;&gt;"",VLOOKUP($B105,'Satınalma Takvimi Veri Girişi'!$B$4:$AC$146,21,FALSE),"")</f>
        <v/>
      </c>
      <c r="AK105" s="146" t="str">
        <f>IF(VLOOKUP($B105,'Satınalma Takvimi Veri Girişi'!$B$4:$AC$146,22,FALSE)&lt;&gt;"",VLOOKUP($B105,'Satınalma Takvimi Veri Girişi'!$B$4:$AC$146,22,FALSE),"")</f>
        <v/>
      </c>
      <c r="AL105" s="147" t="str">
        <f>IF(VLOOKUP($B105,'Satınalma Takvimi Veri Girişi'!$B$4:$AC$146,23,FALSE)&lt;&gt;"",VLOOKUP($B105,'Satınalma Takvimi Veri Girişi'!$B$4:$AC$146,23,FALSE),"")</f>
        <v/>
      </c>
      <c r="AM105" s="147" t="str">
        <f>IF(VLOOKUP($B105,'Satınalma Takvimi Veri Girişi'!$B$4:$AC$146,24,FALSE)&lt;&gt;"",VLOOKUP($B105,'Satınalma Takvimi Veri Girişi'!$B$4:$AC$146,24,FALSE),"")</f>
        <v/>
      </c>
      <c r="AN105" s="147" t="str">
        <f>IF(VLOOKUP($B105,'Satınalma Takvimi Veri Girişi'!$B$4:$AC$146,25,FALSE)&lt;&gt;"",VLOOKUP($B105,'Satınalma Takvimi Veri Girişi'!$B$4:$AC$146,25,FALSE),"")</f>
        <v/>
      </c>
      <c r="AO105" s="147" t="str">
        <f>IF(VLOOKUP($B105,'Satınalma Takvimi Veri Girişi'!$B$4:$AC$146,26,FALSE)&lt;&gt;"",VLOOKUP($B105,'Satınalma Takvimi Veri Girişi'!$B$4:$AC$146,26,FALSE),"")</f>
        <v/>
      </c>
      <c r="AP105" s="147" t="str">
        <f>IF(VLOOKUP($B105,'Satınalma Takvimi Veri Girişi'!$B$4:$AC$146,27,FALSE)&lt;&gt;"",VLOOKUP($B105,'Satınalma Takvimi Veri Girişi'!$B$4:$AC$146,27,FALSE),"")</f>
        <v/>
      </c>
      <c r="AQ105" s="148" t="str">
        <f>IF(VLOOKUP($B105,'Satınalma Takvimi Veri Girişi'!$B$4:$AC$146,28,FALSE)&lt;&gt;"",VLOOKUP($B105,'Satınalma Takvimi Veri Girişi'!$B$4:$AC$146,28,FALSE),"")</f>
        <v/>
      </c>
    </row>
    <row r="106" spans="2:43" ht="19.8" customHeight="1" x14ac:dyDescent="0.3">
      <c r="B106" s="64" t="str">
        <f>Şablon!E105</f>
        <v>IHL.3028.100/1</v>
      </c>
      <c r="C106" s="139" t="str">
        <f>VLOOKUP($B106,Şablon!$E$3:$Q$255,2,FALSE)</f>
        <v>29.04.01 EPDM ZEMİN KAPLAMA İŞLERİ</v>
      </c>
      <c r="D106" s="161" t="str">
        <f>IF(VLOOKUP($B106,'Satınalma Takvimi Veri Girişi'!$B$4:$AC$146,3,FALSE)&lt;&gt;"",VLOOKUP($B106,'Satınalma Takvimi Veri Girişi'!$B$4:$AC$146,3,FALSE),"")</f>
        <v/>
      </c>
      <c r="E106" s="139" t="str">
        <f>VLOOKUP($B106,Şablon!$E$3:$Q$255,3,FALSE)</f>
        <v>B KATEGORİ</v>
      </c>
      <c r="F106" s="140" t="str">
        <f>VLOOKUP($B106,Şablon!$E$3:$Q$255,4,FALSE)</f>
        <v>İNŞ</v>
      </c>
      <c r="G106" s="141">
        <f>VLOOKUP($B106,Şablon!$E$3:$Q$255,5,FALSE)</f>
        <v>0</v>
      </c>
      <c r="H106" s="142" t="str">
        <f t="shared" si="14"/>
        <v/>
      </c>
      <c r="I106" s="143" t="str">
        <f t="shared" si="15"/>
        <v/>
      </c>
      <c r="J106" s="144" t="str">
        <f>IF(VLOOKUP($B106,'Satınalma Takvimi Veri Girişi'!$B$4:$AC$146,7,FALSE)&lt;&gt;"",VLOOKUP($B106,'Satınalma Takvimi Veri Girişi'!$B$4:$AC$146,7,FALSE),"")</f>
        <v/>
      </c>
      <c r="K106" s="141">
        <f>VLOOKUP($B106,Şablon!$E$3:$Q$255,6,FALSE)</f>
        <v>14</v>
      </c>
      <c r="L106" s="142" t="str">
        <f t="shared" si="16"/>
        <v/>
      </c>
      <c r="M106" s="143" t="str">
        <f t="shared" si="17"/>
        <v/>
      </c>
      <c r="N106" s="144" t="str">
        <f>IF(VLOOKUP($B106,'Satınalma Takvimi Veri Girişi'!$B$4:$AC$146,9,FALSE)&lt;&gt;"",VLOOKUP($B106,'Satınalma Takvimi Veri Girişi'!$B$4:$AC$146,9,FALSE),"")</f>
        <v/>
      </c>
      <c r="O106" s="141">
        <f>VLOOKUP($B106,Şablon!$E$3:$Q$255,7,FALSE)</f>
        <v>7</v>
      </c>
      <c r="P106" s="142" t="str">
        <f t="shared" si="18"/>
        <v/>
      </c>
      <c r="Q106" s="143" t="str">
        <f t="shared" si="19"/>
        <v/>
      </c>
      <c r="R106" s="144" t="str">
        <f>IF(VLOOKUP($B106,'Satınalma Takvimi Veri Girişi'!$B$4:$AC$146,11,FALSE)&lt;&gt;"",VLOOKUP($B106,'Satınalma Takvimi Veri Girişi'!$B$4:$AC$146,11,FALSE),"")</f>
        <v/>
      </c>
      <c r="S106" s="141">
        <f>VLOOKUP($B106,Şablon!$E$3:$Q$255,8,FALSE)</f>
        <v>7</v>
      </c>
      <c r="T106" s="142" t="str">
        <f t="shared" si="20"/>
        <v/>
      </c>
      <c r="U106" s="143" t="str">
        <f t="shared" si="21"/>
        <v/>
      </c>
      <c r="V106" s="144" t="str">
        <f>IF(VLOOKUP($B106,'Satınalma Takvimi Veri Girişi'!$B$4:$AC$146,13,FALSE)&lt;&gt;"",VLOOKUP($B106,'Satınalma Takvimi Veri Girişi'!$B$4:$AC$146,13,FALSE),"")</f>
        <v/>
      </c>
      <c r="W106" s="141">
        <f>VLOOKUP($B106,Şablon!$E$3:$Q$255,9,FALSE)</f>
        <v>7</v>
      </c>
      <c r="X106" s="142" t="str">
        <f t="shared" si="22"/>
        <v/>
      </c>
      <c r="Y106" s="143" t="str">
        <f t="shared" si="23"/>
        <v/>
      </c>
      <c r="Z106" s="144" t="str">
        <f>IF(VLOOKUP($B106,'Satınalma Takvimi Veri Girişi'!$B$4:$AC$146,15,FALSE)&lt;&gt;"",VLOOKUP($B106,'Satınalma Takvimi Veri Girişi'!$B$4:$AC$146,15,FALSE),"")</f>
        <v/>
      </c>
      <c r="AA106" s="141">
        <f>VLOOKUP($B106,Şablon!$E$3:$Q$255,10,FALSE)</f>
        <v>7</v>
      </c>
      <c r="AB106" s="142" t="str">
        <f t="shared" si="24"/>
        <v/>
      </c>
      <c r="AC106" s="143" t="str">
        <f t="shared" si="25"/>
        <v/>
      </c>
      <c r="AD106" s="144" t="str">
        <f>IF(VLOOKUP($B106,'Satınalma Takvimi Veri Girişi'!$B$4:$AC$146,17,FALSE)&lt;&gt;"",VLOOKUP($B106,'Satınalma Takvimi Veri Girişi'!$B$4:$AC$146,17,FALSE),"")</f>
        <v/>
      </c>
      <c r="AE106" s="141">
        <f>(VLOOKUP($B106,Şablon!$E$3:$Q$255,11,FALSE)+VLOOKUP($B106,Şablon!$E$3:$Q$255,12,FALSE))</f>
        <v>14</v>
      </c>
      <c r="AF106" s="142" t="str">
        <f t="shared" si="26"/>
        <v/>
      </c>
      <c r="AG106" s="143" t="str">
        <f t="shared" si="27"/>
        <v/>
      </c>
      <c r="AH106" s="144" t="str">
        <f>IF(VLOOKUP($B106,'Satınalma Takvimi Veri Girişi'!$B$4:$AC$146,19,FALSE)&lt;&gt;"",VLOOKUP($B106,'Satınalma Takvimi Veri Girişi'!$B$4:$AC$146,19,FALSE),"")</f>
        <v/>
      </c>
      <c r="AI106" s="145" t="str">
        <f>IF(VLOOKUP($B106,'Satınalma Takvimi Veri Girişi'!$B$4:$AC$146,20,FALSE)&lt;&gt;"",VLOOKUP($B106,'Satınalma Takvimi Veri Girişi'!$B$4:$AC$146,20,FALSE),"")</f>
        <v/>
      </c>
      <c r="AJ106" s="144" t="str">
        <f>IF(VLOOKUP($B106,'Satınalma Takvimi Veri Girişi'!$B$4:$AC$146,21,FALSE)&lt;&gt;"",VLOOKUP($B106,'Satınalma Takvimi Veri Girişi'!$B$4:$AC$146,21,FALSE),"")</f>
        <v/>
      </c>
      <c r="AK106" s="146" t="str">
        <f>IF(VLOOKUP($B106,'Satınalma Takvimi Veri Girişi'!$B$4:$AC$146,22,FALSE)&lt;&gt;"",VLOOKUP($B106,'Satınalma Takvimi Veri Girişi'!$B$4:$AC$146,22,FALSE),"")</f>
        <v/>
      </c>
      <c r="AL106" s="147" t="str">
        <f>IF(VLOOKUP($B106,'Satınalma Takvimi Veri Girişi'!$B$4:$AC$146,23,FALSE)&lt;&gt;"",VLOOKUP($B106,'Satınalma Takvimi Veri Girişi'!$B$4:$AC$146,23,FALSE),"")</f>
        <v/>
      </c>
      <c r="AM106" s="147" t="str">
        <f>IF(VLOOKUP($B106,'Satınalma Takvimi Veri Girişi'!$B$4:$AC$146,24,FALSE)&lt;&gt;"",VLOOKUP($B106,'Satınalma Takvimi Veri Girişi'!$B$4:$AC$146,24,FALSE),"")</f>
        <v/>
      </c>
      <c r="AN106" s="147" t="str">
        <f>IF(VLOOKUP($B106,'Satınalma Takvimi Veri Girişi'!$B$4:$AC$146,25,FALSE)&lt;&gt;"",VLOOKUP($B106,'Satınalma Takvimi Veri Girişi'!$B$4:$AC$146,25,FALSE),"")</f>
        <v/>
      </c>
      <c r="AO106" s="147" t="str">
        <f>IF(VLOOKUP($B106,'Satınalma Takvimi Veri Girişi'!$B$4:$AC$146,26,FALSE)&lt;&gt;"",VLOOKUP($B106,'Satınalma Takvimi Veri Girişi'!$B$4:$AC$146,26,FALSE),"")</f>
        <v/>
      </c>
      <c r="AP106" s="147" t="str">
        <f>IF(VLOOKUP($B106,'Satınalma Takvimi Veri Girişi'!$B$4:$AC$146,27,FALSE)&lt;&gt;"",VLOOKUP($B106,'Satınalma Takvimi Veri Girişi'!$B$4:$AC$146,27,FALSE),"")</f>
        <v/>
      </c>
      <c r="AQ106" s="148" t="str">
        <f>IF(VLOOKUP($B106,'Satınalma Takvimi Veri Girişi'!$B$4:$AC$146,28,FALSE)&lt;&gt;"",VLOOKUP($B106,'Satınalma Takvimi Veri Girişi'!$B$4:$AC$146,28,FALSE),"")</f>
        <v/>
      </c>
    </row>
    <row r="107" spans="2:43" ht="19.8" customHeight="1" x14ac:dyDescent="0.3">
      <c r="B107" s="64" t="str">
        <f>Şablon!E106</f>
        <v>IHL.3028.101/1</v>
      </c>
      <c r="C107" s="139" t="str">
        <f>VLOOKUP($B107,Şablon!$E$3:$Q$255,2,FALSE)</f>
        <v>15.15.03 TRAFİK YÖNLENDİRME İŞLERİ</v>
      </c>
      <c r="D107" s="161" t="str">
        <f>IF(VLOOKUP($B107,'Satınalma Takvimi Veri Girişi'!$B$4:$AC$146,3,FALSE)&lt;&gt;"",VLOOKUP($B107,'Satınalma Takvimi Veri Girişi'!$B$4:$AC$146,3,FALSE),"")</f>
        <v/>
      </c>
      <c r="E107" s="139" t="str">
        <f>VLOOKUP($B107,Şablon!$E$3:$Q$255,3,FALSE)</f>
        <v>B KATEGORİ</v>
      </c>
      <c r="F107" s="140" t="str">
        <f>VLOOKUP($B107,Şablon!$E$3:$Q$255,4,FALSE)</f>
        <v>İNŞ</v>
      </c>
      <c r="G107" s="141">
        <f>VLOOKUP($B107,Şablon!$E$3:$Q$255,5,FALSE)</f>
        <v>0</v>
      </c>
      <c r="H107" s="142" t="str">
        <f t="shared" si="14"/>
        <v/>
      </c>
      <c r="I107" s="143" t="str">
        <f t="shared" si="15"/>
        <v/>
      </c>
      <c r="J107" s="144" t="str">
        <f>IF(VLOOKUP($B107,'Satınalma Takvimi Veri Girişi'!$B$4:$AC$146,7,FALSE)&lt;&gt;"",VLOOKUP($B107,'Satınalma Takvimi Veri Girişi'!$B$4:$AC$146,7,FALSE),"")</f>
        <v/>
      </c>
      <c r="K107" s="141">
        <f>VLOOKUP($B107,Şablon!$E$3:$Q$255,6,FALSE)</f>
        <v>14</v>
      </c>
      <c r="L107" s="142" t="str">
        <f t="shared" si="16"/>
        <v/>
      </c>
      <c r="M107" s="143" t="str">
        <f t="shared" si="17"/>
        <v/>
      </c>
      <c r="N107" s="144" t="str">
        <f>IF(VLOOKUP($B107,'Satınalma Takvimi Veri Girişi'!$B$4:$AC$146,9,FALSE)&lt;&gt;"",VLOOKUP($B107,'Satınalma Takvimi Veri Girişi'!$B$4:$AC$146,9,FALSE),"")</f>
        <v/>
      </c>
      <c r="O107" s="141">
        <f>VLOOKUP($B107,Şablon!$E$3:$Q$255,7,FALSE)</f>
        <v>7</v>
      </c>
      <c r="P107" s="142" t="str">
        <f t="shared" si="18"/>
        <v/>
      </c>
      <c r="Q107" s="143" t="str">
        <f t="shared" si="19"/>
        <v/>
      </c>
      <c r="R107" s="144" t="str">
        <f>IF(VLOOKUP($B107,'Satınalma Takvimi Veri Girişi'!$B$4:$AC$146,11,FALSE)&lt;&gt;"",VLOOKUP($B107,'Satınalma Takvimi Veri Girişi'!$B$4:$AC$146,11,FALSE),"")</f>
        <v/>
      </c>
      <c r="S107" s="141">
        <f>VLOOKUP($B107,Şablon!$E$3:$Q$255,8,FALSE)</f>
        <v>14</v>
      </c>
      <c r="T107" s="142" t="str">
        <f t="shared" si="20"/>
        <v/>
      </c>
      <c r="U107" s="143" t="str">
        <f t="shared" si="21"/>
        <v/>
      </c>
      <c r="V107" s="144" t="str">
        <f>IF(VLOOKUP($B107,'Satınalma Takvimi Veri Girişi'!$B$4:$AC$146,13,FALSE)&lt;&gt;"",VLOOKUP($B107,'Satınalma Takvimi Veri Girişi'!$B$4:$AC$146,13,FALSE),"")</f>
        <v/>
      </c>
      <c r="W107" s="141">
        <f>VLOOKUP($B107,Şablon!$E$3:$Q$255,9,FALSE)</f>
        <v>7</v>
      </c>
      <c r="X107" s="142" t="str">
        <f t="shared" si="22"/>
        <v/>
      </c>
      <c r="Y107" s="143" t="str">
        <f t="shared" si="23"/>
        <v/>
      </c>
      <c r="Z107" s="144" t="str">
        <f>IF(VLOOKUP($B107,'Satınalma Takvimi Veri Girişi'!$B$4:$AC$146,15,FALSE)&lt;&gt;"",VLOOKUP($B107,'Satınalma Takvimi Veri Girişi'!$B$4:$AC$146,15,FALSE),"")</f>
        <v/>
      </c>
      <c r="AA107" s="141">
        <f>VLOOKUP($B107,Şablon!$E$3:$Q$255,10,FALSE)</f>
        <v>7</v>
      </c>
      <c r="AB107" s="142" t="str">
        <f t="shared" si="24"/>
        <v/>
      </c>
      <c r="AC107" s="143" t="str">
        <f t="shared" si="25"/>
        <v/>
      </c>
      <c r="AD107" s="144" t="str">
        <f>IF(VLOOKUP($B107,'Satınalma Takvimi Veri Girişi'!$B$4:$AC$146,17,FALSE)&lt;&gt;"",VLOOKUP($B107,'Satınalma Takvimi Veri Girişi'!$B$4:$AC$146,17,FALSE),"")</f>
        <v/>
      </c>
      <c r="AE107" s="141">
        <f>(VLOOKUP($B107,Şablon!$E$3:$Q$255,11,FALSE)+VLOOKUP($B107,Şablon!$E$3:$Q$255,12,FALSE))</f>
        <v>21</v>
      </c>
      <c r="AF107" s="142" t="str">
        <f t="shared" si="26"/>
        <v/>
      </c>
      <c r="AG107" s="143" t="str">
        <f t="shared" si="27"/>
        <v/>
      </c>
      <c r="AH107" s="144" t="str">
        <f>IF(VLOOKUP($B107,'Satınalma Takvimi Veri Girişi'!$B$4:$AC$146,19,FALSE)&lt;&gt;"",VLOOKUP($B107,'Satınalma Takvimi Veri Girişi'!$B$4:$AC$146,19,FALSE),"")</f>
        <v/>
      </c>
      <c r="AI107" s="145" t="str">
        <f>IF(VLOOKUP($B107,'Satınalma Takvimi Veri Girişi'!$B$4:$AC$146,20,FALSE)&lt;&gt;"",VLOOKUP($B107,'Satınalma Takvimi Veri Girişi'!$B$4:$AC$146,20,FALSE),"")</f>
        <v/>
      </c>
      <c r="AJ107" s="144" t="str">
        <f>IF(VLOOKUP($B107,'Satınalma Takvimi Veri Girişi'!$B$4:$AC$146,21,FALSE)&lt;&gt;"",VLOOKUP($B107,'Satınalma Takvimi Veri Girişi'!$B$4:$AC$146,21,FALSE),"")</f>
        <v/>
      </c>
      <c r="AK107" s="146" t="str">
        <f>IF(VLOOKUP($B107,'Satınalma Takvimi Veri Girişi'!$B$4:$AC$146,22,FALSE)&lt;&gt;"",VLOOKUP($B107,'Satınalma Takvimi Veri Girişi'!$B$4:$AC$146,22,FALSE),"")</f>
        <v/>
      </c>
      <c r="AL107" s="147" t="str">
        <f>IF(VLOOKUP($B107,'Satınalma Takvimi Veri Girişi'!$B$4:$AC$146,23,FALSE)&lt;&gt;"",VLOOKUP($B107,'Satınalma Takvimi Veri Girişi'!$B$4:$AC$146,23,FALSE),"")</f>
        <v/>
      </c>
      <c r="AM107" s="147" t="str">
        <f>IF(VLOOKUP($B107,'Satınalma Takvimi Veri Girişi'!$B$4:$AC$146,24,FALSE)&lt;&gt;"",VLOOKUP($B107,'Satınalma Takvimi Veri Girişi'!$B$4:$AC$146,24,FALSE),"")</f>
        <v/>
      </c>
      <c r="AN107" s="147" t="str">
        <f>IF(VLOOKUP($B107,'Satınalma Takvimi Veri Girişi'!$B$4:$AC$146,25,FALSE)&lt;&gt;"",VLOOKUP($B107,'Satınalma Takvimi Veri Girişi'!$B$4:$AC$146,25,FALSE),"")</f>
        <v/>
      </c>
      <c r="AO107" s="147" t="str">
        <f>IF(VLOOKUP($B107,'Satınalma Takvimi Veri Girişi'!$B$4:$AC$146,26,FALSE)&lt;&gt;"",VLOOKUP($B107,'Satınalma Takvimi Veri Girişi'!$B$4:$AC$146,26,FALSE),"")</f>
        <v/>
      </c>
      <c r="AP107" s="147" t="str">
        <f>IF(VLOOKUP($B107,'Satınalma Takvimi Veri Girişi'!$B$4:$AC$146,27,FALSE)&lt;&gt;"",VLOOKUP($B107,'Satınalma Takvimi Veri Girişi'!$B$4:$AC$146,27,FALSE),"")</f>
        <v/>
      </c>
      <c r="AQ107" s="148" t="str">
        <f>IF(VLOOKUP($B107,'Satınalma Takvimi Veri Girişi'!$B$4:$AC$146,28,FALSE)&lt;&gt;"",VLOOKUP($B107,'Satınalma Takvimi Veri Girişi'!$B$4:$AC$146,28,FALSE),"")</f>
        <v/>
      </c>
    </row>
    <row r="108" spans="2:43" ht="19.8" customHeight="1" x14ac:dyDescent="0.3">
      <c r="B108" s="64" t="str">
        <f>Şablon!E107</f>
        <v>IHL.3028.102/1</v>
      </c>
      <c r="C108" s="139" t="str">
        <f>VLOOKUP($B108,Şablon!$E$3:$Q$255,2,FALSE)</f>
        <v>17.06.00 (M) ŞEZLONG &amp; ŞEMSİYE İŞLERİ</v>
      </c>
      <c r="D108" s="161" t="str">
        <f>IF(VLOOKUP($B108,'Satınalma Takvimi Veri Girişi'!$B$4:$AC$146,3,FALSE)&lt;&gt;"",VLOOKUP($B108,'Satınalma Takvimi Veri Girişi'!$B$4:$AC$146,3,FALSE),"")</f>
        <v/>
      </c>
      <c r="E108" s="139" t="str">
        <f>VLOOKUP($B108,Şablon!$E$3:$Q$255,3,FALSE)</f>
        <v>C KATEGORİ</v>
      </c>
      <c r="F108" s="140" t="str">
        <f>VLOOKUP($B108,Şablon!$E$3:$Q$255,4,FALSE)</f>
        <v>İNŞ</v>
      </c>
      <c r="G108" s="141">
        <f>VLOOKUP($B108,Şablon!$E$3:$Q$255,5,FALSE)</f>
        <v>0</v>
      </c>
      <c r="H108" s="142" t="str">
        <f t="shared" si="14"/>
        <v/>
      </c>
      <c r="I108" s="143" t="str">
        <f t="shared" si="15"/>
        <v/>
      </c>
      <c r="J108" s="144" t="str">
        <f>IF(VLOOKUP($B108,'Satınalma Takvimi Veri Girişi'!$B$4:$AC$146,7,FALSE)&lt;&gt;"",VLOOKUP($B108,'Satınalma Takvimi Veri Girişi'!$B$4:$AC$146,7,FALSE),"")</f>
        <v/>
      </c>
      <c r="K108" s="141">
        <f>VLOOKUP($B108,Şablon!$E$3:$Q$255,6,FALSE)</f>
        <v>14</v>
      </c>
      <c r="L108" s="142" t="str">
        <f t="shared" si="16"/>
        <v/>
      </c>
      <c r="M108" s="143" t="str">
        <f t="shared" si="17"/>
        <v/>
      </c>
      <c r="N108" s="144" t="str">
        <f>IF(VLOOKUP($B108,'Satınalma Takvimi Veri Girişi'!$B$4:$AC$146,9,FALSE)&lt;&gt;"",VLOOKUP($B108,'Satınalma Takvimi Veri Girişi'!$B$4:$AC$146,9,FALSE),"")</f>
        <v/>
      </c>
      <c r="O108" s="141">
        <f>VLOOKUP($B108,Şablon!$E$3:$Q$255,7,FALSE)</f>
        <v>7</v>
      </c>
      <c r="P108" s="142" t="str">
        <f t="shared" si="18"/>
        <v/>
      </c>
      <c r="Q108" s="143" t="str">
        <f t="shared" si="19"/>
        <v/>
      </c>
      <c r="R108" s="144" t="str">
        <f>IF(VLOOKUP($B108,'Satınalma Takvimi Veri Girişi'!$B$4:$AC$146,11,FALSE)&lt;&gt;"",VLOOKUP($B108,'Satınalma Takvimi Veri Girişi'!$B$4:$AC$146,11,FALSE),"")</f>
        <v/>
      </c>
      <c r="S108" s="141">
        <f>VLOOKUP($B108,Şablon!$E$3:$Q$255,8,FALSE)</f>
        <v>14</v>
      </c>
      <c r="T108" s="142" t="str">
        <f t="shared" si="20"/>
        <v/>
      </c>
      <c r="U108" s="143" t="str">
        <f t="shared" si="21"/>
        <v/>
      </c>
      <c r="V108" s="144" t="str">
        <f>IF(VLOOKUP($B108,'Satınalma Takvimi Veri Girişi'!$B$4:$AC$146,13,FALSE)&lt;&gt;"",VLOOKUP($B108,'Satınalma Takvimi Veri Girişi'!$B$4:$AC$146,13,FALSE),"")</f>
        <v/>
      </c>
      <c r="W108" s="141">
        <f>VLOOKUP($B108,Şablon!$E$3:$Q$255,9,FALSE)</f>
        <v>7</v>
      </c>
      <c r="X108" s="142" t="str">
        <f t="shared" si="22"/>
        <v/>
      </c>
      <c r="Y108" s="143" t="str">
        <f t="shared" si="23"/>
        <v/>
      </c>
      <c r="Z108" s="144" t="str">
        <f>IF(VLOOKUP($B108,'Satınalma Takvimi Veri Girişi'!$B$4:$AC$146,15,FALSE)&lt;&gt;"",VLOOKUP($B108,'Satınalma Takvimi Veri Girişi'!$B$4:$AC$146,15,FALSE),"")</f>
        <v/>
      </c>
      <c r="AA108" s="141">
        <f>VLOOKUP($B108,Şablon!$E$3:$Q$255,10,FALSE)</f>
        <v>7</v>
      </c>
      <c r="AB108" s="142" t="str">
        <f t="shared" si="24"/>
        <v/>
      </c>
      <c r="AC108" s="143" t="str">
        <f t="shared" si="25"/>
        <v/>
      </c>
      <c r="AD108" s="144" t="str">
        <f>IF(VLOOKUP($B108,'Satınalma Takvimi Veri Girişi'!$B$4:$AC$146,17,FALSE)&lt;&gt;"",VLOOKUP($B108,'Satınalma Takvimi Veri Girişi'!$B$4:$AC$146,17,FALSE),"")</f>
        <v/>
      </c>
      <c r="AE108" s="141">
        <f>(VLOOKUP($B108,Şablon!$E$3:$Q$255,11,FALSE)+VLOOKUP($B108,Şablon!$E$3:$Q$255,12,FALSE))</f>
        <v>28</v>
      </c>
      <c r="AF108" s="142" t="str">
        <f t="shared" si="26"/>
        <v/>
      </c>
      <c r="AG108" s="143" t="str">
        <f t="shared" si="27"/>
        <v/>
      </c>
      <c r="AH108" s="144" t="str">
        <f>IF(VLOOKUP($B108,'Satınalma Takvimi Veri Girişi'!$B$4:$AC$146,19,FALSE)&lt;&gt;"",VLOOKUP($B108,'Satınalma Takvimi Veri Girişi'!$B$4:$AC$146,19,FALSE),"")</f>
        <v/>
      </c>
      <c r="AI108" s="145" t="str">
        <f>IF(VLOOKUP($B108,'Satınalma Takvimi Veri Girişi'!$B$4:$AC$146,20,FALSE)&lt;&gt;"",VLOOKUP($B108,'Satınalma Takvimi Veri Girişi'!$B$4:$AC$146,20,FALSE),"")</f>
        <v/>
      </c>
      <c r="AJ108" s="144" t="str">
        <f>IF(VLOOKUP($B108,'Satınalma Takvimi Veri Girişi'!$B$4:$AC$146,21,FALSE)&lt;&gt;"",VLOOKUP($B108,'Satınalma Takvimi Veri Girişi'!$B$4:$AC$146,21,FALSE),"")</f>
        <v/>
      </c>
      <c r="AK108" s="146" t="str">
        <f>IF(VLOOKUP($B108,'Satınalma Takvimi Veri Girişi'!$B$4:$AC$146,22,FALSE)&lt;&gt;"",VLOOKUP($B108,'Satınalma Takvimi Veri Girişi'!$B$4:$AC$146,22,FALSE),"")</f>
        <v/>
      </c>
      <c r="AL108" s="147" t="str">
        <f>IF(VLOOKUP($B108,'Satınalma Takvimi Veri Girişi'!$B$4:$AC$146,23,FALSE)&lt;&gt;"",VLOOKUP($B108,'Satınalma Takvimi Veri Girişi'!$B$4:$AC$146,23,FALSE),"")</f>
        <v/>
      </c>
      <c r="AM108" s="147" t="str">
        <f>IF(VLOOKUP($B108,'Satınalma Takvimi Veri Girişi'!$B$4:$AC$146,24,FALSE)&lt;&gt;"",VLOOKUP($B108,'Satınalma Takvimi Veri Girişi'!$B$4:$AC$146,24,FALSE),"")</f>
        <v/>
      </c>
      <c r="AN108" s="147" t="str">
        <f>IF(VLOOKUP($B108,'Satınalma Takvimi Veri Girişi'!$B$4:$AC$146,25,FALSE)&lt;&gt;"",VLOOKUP($B108,'Satınalma Takvimi Veri Girişi'!$B$4:$AC$146,25,FALSE),"")</f>
        <v/>
      </c>
      <c r="AO108" s="147" t="str">
        <f>IF(VLOOKUP($B108,'Satınalma Takvimi Veri Girişi'!$B$4:$AC$146,26,FALSE)&lt;&gt;"",VLOOKUP($B108,'Satınalma Takvimi Veri Girişi'!$B$4:$AC$146,26,FALSE),"")</f>
        <v/>
      </c>
      <c r="AP108" s="147" t="str">
        <f>IF(VLOOKUP($B108,'Satınalma Takvimi Veri Girişi'!$B$4:$AC$146,27,FALSE)&lt;&gt;"",VLOOKUP($B108,'Satınalma Takvimi Veri Girişi'!$B$4:$AC$146,27,FALSE),"")</f>
        <v/>
      </c>
      <c r="AQ108" s="148" t="str">
        <f>IF(VLOOKUP($B108,'Satınalma Takvimi Veri Girişi'!$B$4:$AC$146,28,FALSE)&lt;&gt;"",VLOOKUP($B108,'Satınalma Takvimi Veri Girişi'!$B$4:$AC$146,28,FALSE),"")</f>
        <v/>
      </c>
    </row>
    <row r="109" spans="2:43" ht="19.8" customHeight="1" x14ac:dyDescent="0.3">
      <c r="B109" s="64" t="str">
        <f>Şablon!E108</f>
        <v>IHL.3028.103/1</v>
      </c>
      <c r="C109" s="139" t="str">
        <f>VLOOKUP($B109,Şablon!$E$3:$Q$255,2,FALSE)</f>
        <v>29.05.00 (M) ÇOCUK OYUN EKİPMANLARI</v>
      </c>
      <c r="D109" s="161" t="str">
        <f>IF(VLOOKUP($B109,'Satınalma Takvimi Veri Girişi'!$B$4:$AC$146,3,FALSE)&lt;&gt;"",VLOOKUP($B109,'Satınalma Takvimi Veri Girişi'!$B$4:$AC$146,3,FALSE),"")</f>
        <v/>
      </c>
      <c r="E109" s="139" t="str">
        <f>VLOOKUP($B109,Şablon!$E$3:$Q$255,3,FALSE)</f>
        <v>B KATEGORİ</v>
      </c>
      <c r="F109" s="140" t="str">
        <f>VLOOKUP($B109,Şablon!$E$3:$Q$255,4,FALSE)</f>
        <v>İNŞ</v>
      </c>
      <c r="G109" s="141">
        <f>VLOOKUP($B109,Şablon!$E$3:$Q$255,5,FALSE)</f>
        <v>0</v>
      </c>
      <c r="H109" s="142" t="str">
        <f t="shared" si="14"/>
        <v/>
      </c>
      <c r="I109" s="143" t="str">
        <f t="shared" si="15"/>
        <v/>
      </c>
      <c r="J109" s="144" t="str">
        <f>IF(VLOOKUP($B109,'Satınalma Takvimi Veri Girişi'!$B$4:$AC$146,7,FALSE)&lt;&gt;"",VLOOKUP($B109,'Satınalma Takvimi Veri Girişi'!$B$4:$AC$146,7,FALSE),"")</f>
        <v/>
      </c>
      <c r="K109" s="141">
        <f>VLOOKUP($B109,Şablon!$E$3:$Q$255,6,FALSE)</f>
        <v>14</v>
      </c>
      <c r="L109" s="142" t="str">
        <f t="shared" si="16"/>
        <v/>
      </c>
      <c r="M109" s="143" t="str">
        <f t="shared" si="17"/>
        <v/>
      </c>
      <c r="N109" s="144" t="str">
        <f>IF(VLOOKUP($B109,'Satınalma Takvimi Veri Girişi'!$B$4:$AC$146,9,FALSE)&lt;&gt;"",VLOOKUP($B109,'Satınalma Takvimi Veri Girişi'!$B$4:$AC$146,9,FALSE),"")</f>
        <v/>
      </c>
      <c r="O109" s="141">
        <f>VLOOKUP($B109,Şablon!$E$3:$Q$255,7,FALSE)</f>
        <v>7</v>
      </c>
      <c r="P109" s="142" t="str">
        <f t="shared" si="18"/>
        <v/>
      </c>
      <c r="Q109" s="143" t="str">
        <f t="shared" si="19"/>
        <v/>
      </c>
      <c r="R109" s="144" t="str">
        <f>IF(VLOOKUP($B109,'Satınalma Takvimi Veri Girişi'!$B$4:$AC$146,11,FALSE)&lt;&gt;"",VLOOKUP($B109,'Satınalma Takvimi Veri Girişi'!$B$4:$AC$146,11,FALSE),"")</f>
        <v/>
      </c>
      <c r="S109" s="141">
        <f>VLOOKUP($B109,Şablon!$E$3:$Q$255,8,FALSE)</f>
        <v>21</v>
      </c>
      <c r="T109" s="142" t="str">
        <f t="shared" si="20"/>
        <v/>
      </c>
      <c r="U109" s="143" t="str">
        <f t="shared" si="21"/>
        <v/>
      </c>
      <c r="V109" s="144" t="str">
        <f>IF(VLOOKUP($B109,'Satınalma Takvimi Veri Girişi'!$B$4:$AC$146,13,FALSE)&lt;&gt;"",VLOOKUP($B109,'Satınalma Takvimi Veri Girişi'!$B$4:$AC$146,13,FALSE),"")</f>
        <v/>
      </c>
      <c r="W109" s="141">
        <f>VLOOKUP($B109,Şablon!$E$3:$Q$255,9,FALSE)</f>
        <v>7</v>
      </c>
      <c r="X109" s="142" t="str">
        <f t="shared" si="22"/>
        <v/>
      </c>
      <c r="Y109" s="143" t="str">
        <f t="shared" si="23"/>
        <v/>
      </c>
      <c r="Z109" s="144" t="str">
        <f>IF(VLOOKUP($B109,'Satınalma Takvimi Veri Girişi'!$B$4:$AC$146,15,FALSE)&lt;&gt;"",VLOOKUP($B109,'Satınalma Takvimi Veri Girişi'!$B$4:$AC$146,15,FALSE),"")</f>
        <v/>
      </c>
      <c r="AA109" s="141">
        <f>VLOOKUP($B109,Şablon!$E$3:$Q$255,10,FALSE)</f>
        <v>7</v>
      </c>
      <c r="AB109" s="142" t="str">
        <f t="shared" si="24"/>
        <v/>
      </c>
      <c r="AC109" s="143" t="str">
        <f t="shared" si="25"/>
        <v/>
      </c>
      <c r="AD109" s="144" t="str">
        <f>IF(VLOOKUP($B109,'Satınalma Takvimi Veri Girişi'!$B$4:$AC$146,17,FALSE)&lt;&gt;"",VLOOKUP($B109,'Satınalma Takvimi Veri Girişi'!$B$4:$AC$146,17,FALSE),"")</f>
        <v/>
      </c>
      <c r="AE109" s="141">
        <f>(VLOOKUP($B109,Şablon!$E$3:$Q$255,11,FALSE)+VLOOKUP($B109,Şablon!$E$3:$Q$255,12,FALSE))</f>
        <v>52</v>
      </c>
      <c r="AF109" s="142" t="str">
        <f t="shared" si="26"/>
        <v/>
      </c>
      <c r="AG109" s="143" t="str">
        <f t="shared" si="27"/>
        <v/>
      </c>
      <c r="AH109" s="144" t="str">
        <f>IF(VLOOKUP($B109,'Satınalma Takvimi Veri Girişi'!$B$4:$AC$146,19,FALSE)&lt;&gt;"",VLOOKUP($B109,'Satınalma Takvimi Veri Girişi'!$B$4:$AC$146,19,FALSE),"")</f>
        <v/>
      </c>
      <c r="AI109" s="145" t="str">
        <f>IF(VLOOKUP($B109,'Satınalma Takvimi Veri Girişi'!$B$4:$AC$146,20,FALSE)&lt;&gt;"",VLOOKUP($B109,'Satınalma Takvimi Veri Girişi'!$B$4:$AC$146,20,FALSE),"")</f>
        <v/>
      </c>
      <c r="AJ109" s="144" t="str">
        <f>IF(VLOOKUP($B109,'Satınalma Takvimi Veri Girişi'!$B$4:$AC$146,21,FALSE)&lt;&gt;"",VLOOKUP($B109,'Satınalma Takvimi Veri Girişi'!$B$4:$AC$146,21,FALSE),"")</f>
        <v/>
      </c>
      <c r="AK109" s="146" t="str">
        <f>IF(VLOOKUP($B109,'Satınalma Takvimi Veri Girişi'!$B$4:$AC$146,22,FALSE)&lt;&gt;"",VLOOKUP($B109,'Satınalma Takvimi Veri Girişi'!$B$4:$AC$146,22,FALSE),"")</f>
        <v/>
      </c>
      <c r="AL109" s="147" t="str">
        <f>IF(VLOOKUP($B109,'Satınalma Takvimi Veri Girişi'!$B$4:$AC$146,23,FALSE)&lt;&gt;"",VLOOKUP($B109,'Satınalma Takvimi Veri Girişi'!$B$4:$AC$146,23,FALSE),"")</f>
        <v/>
      </c>
      <c r="AM109" s="147" t="str">
        <f>IF(VLOOKUP($B109,'Satınalma Takvimi Veri Girişi'!$B$4:$AC$146,24,FALSE)&lt;&gt;"",VLOOKUP($B109,'Satınalma Takvimi Veri Girişi'!$B$4:$AC$146,24,FALSE),"")</f>
        <v/>
      </c>
      <c r="AN109" s="147" t="str">
        <f>IF(VLOOKUP($B109,'Satınalma Takvimi Veri Girişi'!$B$4:$AC$146,25,FALSE)&lt;&gt;"",VLOOKUP($B109,'Satınalma Takvimi Veri Girişi'!$B$4:$AC$146,25,FALSE),"")</f>
        <v/>
      </c>
      <c r="AO109" s="147" t="str">
        <f>IF(VLOOKUP($B109,'Satınalma Takvimi Veri Girişi'!$B$4:$AC$146,26,FALSE)&lt;&gt;"",VLOOKUP($B109,'Satınalma Takvimi Veri Girişi'!$B$4:$AC$146,26,FALSE),"")</f>
        <v/>
      </c>
      <c r="AP109" s="147" t="str">
        <f>IF(VLOOKUP($B109,'Satınalma Takvimi Veri Girişi'!$B$4:$AC$146,27,FALSE)&lt;&gt;"",VLOOKUP($B109,'Satınalma Takvimi Veri Girişi'!$B$4:$AC$146,27,FALSE),"")</f>
        <v/>
      </c>
      <c r="AQ109" s="148" t="str">
        <f>IF(VLOOKUP($B109,'Satınalma Takvimi Veri Girişi'!$B$4:$AC$146,28,FALSE)&lt;&gt;"",VLOOKUP($B109,'Satınalma Takvimi Veri Girişi'!$B$4:$AC$146,28,FALSE),"")</f>
        <v/>
      </c>
    </row>
    <row r="110" spans="2:43" ht="19.8" customHeight="1" x14ac:dyDescent="0.3">
      <c r="B110" s="64" t="str">
        <f>Şablon!E109</f>
        <v>IHL.3028.104/1</v>
      </c>
      <c r="C110" s="139" t="str">
        <f>VLOOKUP($B110,Şablon!$E$3:$Q$255,2,FALSE)</f>
        <v xml:space="preserve">25.07.00 HAREKETLİ MOBİLYA </v>
      </c>
      <c r="D110" s="161" t="str">
        <f>IF(VLOOKUP($B110,'Satınalma Takvimi Veri Girişi'!$B$4:$AC$146,3,FALSE)&lt;&gt;"",VLOOKUP($B110,'Satınalma Takvimi Veri Girişi'!$B$4:$AC$146,3,FALSE),"")</f>
        <v/>
      </c>
      <c r="E110" s="139" t="str">
        <f>VLOOKUP($B110,Şablon!$E$3:$Q$255,3,FALSE)</f>
        <v>B KATEGORİ</v>
      </c>
      <c r="F110" s="140" t="str">
        <f>VLOOKUP($B110,Şablon!$E$3:$Q$255,4,FALSE)</f>
        <v>İNŞ</v>
      </c>
      <c r="G110" s="141">
        <f>VLOOKUP($B110,Şablon!$E$3:$Q$255,5,FALSE)</f>
        <v>0</v>
      </c>
      <c r="H110" s="142" t="str">
        <f t="shared" si="14"/>
        <v/>
      </c>
      <c r="I110" s="143" t="str">
        <f t="shared" si="15"/>
        <v/>
      </c>
      <c r="J110" s="144" t="str">
        <f>IF(VLOOKUP($B110,'Satınalma Takvimi Veri Girişi'!$B$4:$AC$146,7,FALSE)&lt;&gt;"",VLOOKUP($B110,'Satınalma Takvimi Veri Girişi'!$B$4:$AC$146,7,FALSE),"")</f>
        <v/>
      </c>
      <c r="K110" s="141">
        <f>VLOOKUP($B110,Şablon!$E$3:$Q$255,6,FALSE)</f>
        <v>14</v>
      </c>
      <c r="L110" s="142" t="str">
        <f t="shared" si="16"/>
        <v/>
      </c>
      <c r="M110" s="143" t="str">
        <f t="shared" si="17"/>
        <v/>
      </c>
      <c r="N110" s="144" t="str">
        <f>IF(VLOOKUP($B110,'Satınalma Takvimi Veri Girişi'!$B$4:$AC$146,9,FALSE)&lt;&gt;"",VLOOKUP($B110,'Satınalma Takvimi Veri Girişi'!$B$4:$AC$146,9,FALSE),"")</f>
        <v/>
      </c>
      <c r="O110" s="141">
        <f>VLOOKUP($B110,Şablon!$E$3:$Q$255,7,FALSE)</f>
        <v>7</v>
      </c>
      <c r="P110" s="142" t="str">
        <f t="shared" si="18"/>
        <v/>
      </c>
      <c r="Q110" s="143" t="str">
        <f t="shared" si="19"/>
        <v/>
      </c>
      <c r="R110" s="144" t="str">
        <f>IF(VLOOKUP($B110,'Satınalma Takvimi Veri Girişi'!$B$4:$AC$146,11,FALSE)&lt;&gt;"",VLOOKUP($B110,'Satınalma Takvimi Veri Girişi'!$B$4:$AC$146,11,FALSE),"")</f>
        <v/>
      </c>
      <c r="S110" s="141">
        <f>VLOOKUP($B110,Şablon!$E$3:$Q$255,8,FALSE)</f>
        <v>28</v>
      </c>
      <c r="T110" s="142" t="str">
        <f t="shared" si="20"/>
        <v/>
      </c>
      <c r="U110" s="143" t="str">
        <f t="shared" si="21"/>
        <v/>
      </c>
      <c r="V110" s="144" t="str">
        <f>IF(VLOOKUP($B110,'Satınalma Takvimi Veri Girişi'!$B$4:$AC$146,13,FALSE)&lt;&gt;"",VLOOKUP($B110,'Satınalma Takvimi Veri Girişi'!$B$4:$AC$146,13,FALSE),"")</f>
        <v/>
      </c>
      <c r="W110" s="141">
        <f>VLOOKUP($B110,Şablon!$E$3:$Q$255,9,FALSE)</f>
        <v>7</v>
      </c>
      <c r="X110" s="142" t="str">
        <f t="shared" si="22"/>
        <v/>
      </c>
      <c r="Y110" s="143" t="str">
        <f t="shared" si="23"/>
        <v/>
      </c>
      <c r="Z110" s="144" t="str">
        <f>IF(VLOOKUP($B110,'Satınalma Takvimi Veri Girişi'!$B$4:$AC$146,15,FALSE)&lt;&gt;"",VLOOKUP($B110,'Satınalma Takvimi Veri Girişi'!$B$4:$AC$146,15,FALSE),"")</f>
        <v/>
      </c>
      <c r="AA110" s="141">
        <f>VLOOKUP($B110,Şablon!$E$3:$Q$255,10,FALSE)</f>
        <v>14</v>
      </c>
      <c r="AB110" s="142" t="str">
        <f t="shared" si="24"/>
        <v/>
      </c>
      <c r="AC110" s="143" t="str">
        <f t="shared" si="25"/>
        <v/>
      </c>
      <c r="AD110" s="144" t="str">
        <f>IF(VLOOKUP($B110,'Satınalma Takvimi Veri Girişi'!$B$4:$AC$146,17,FALSE)&lt;&gt;"",VLOOKUP($B110,'Satınalma Takvimi Veri Girişi'!$B$4:$AC$146,17,FALSE),"")</f>
        <v/>
      </c>
      <c r="AE110" s="141">
        <f>(VLOOKUP($B110,Şablon!$E$3:$Q$255,11,FALSE)+VLOOKUP($B110,Şablon!$E$3:$Q$255,12,FALSE))</f>
        <v>52</v>
      </c>
      <c r="AF110" s="142" t="str">
        <f t="shared" si="26"/>
        <v/>
      </c>
      <c r="AG110" s="143" t="str">
        <f t="shared" si="27"/>
        <v/>
      </c>
      <c r="AH110" s="144" t="str">
        <f>IF(VLOOKUP($B110,'Satınalma Takvimi Veri Girişi'!$B$4:$AC$146,19,FALSE)&lt;&gt;"",VLOOKUP($B110,'Satınalma Takvimi Veri Girişi'!$B$4:$AC$146,19,FALSE),"")</f>
        <v/>
      </c>
      <c r="AI110" s="145" t="str">
        <f>IF(VLOOKUP($B110,'Satınalma Takvimi Veri Girişi'!$B$4:$AC$146,20,FALSE)&lt;&gt;"",VLOOKUP($B110,'Satınalma Takvimi Veri Girişi'!$B$4:$AC$146,20,FALSE),"")</f>
        <v/>
      </c>
      <c r="AJ110" s="144" t="str">
        <f>IF(VLOOKUP($B110,'Satınalma Takvimi Veri Girişi'!$B$4:$AC$146,21,FALSE)&lt;&gt;"",VLOOKUP($B110,'Satınalma Takvimi Veri Girişi'!$B$4:$AC$146,21,FALSE),"")</f>
        <v/>
      </c>
      <c r="AK110" s="146" t="str">
        <f>IF(VLOOKUP($B110,'Satınalma Takvimi Veri Girişi'!$B$4:$AC$146,22,FALSE)&lt;&gt;"",VLOOKUP($B110,'Satınalma Takvimi Veri Girişi'!$B$4:$AC$146,22,FALSE),"")</f>
        <v/>
      </c>
      <c r="AL110" s="147" t="str">
        <f>IF(VLOOKUP($B110,'Satınalma Takvimi Veri Girişi'!$B$4:$AC$146,23,FALSE)&lt;&gt;"",VLOOKUP($B110,'Satınalma Takvimi Veri Girişi'!$B$4:$AC$146,23,FALSE),"")</f>
        <v/>
      </c>
      <c r="AM110" s="147" t="str">
        <f>IF(VLOOKUP($B110,'Satınalma Takvimi Veri Girişi'!$B$4:$AC$146,24,FALSE)&lt;&gt;"",VLOOKUP($B110,'Satınalma Takvimi Veri Girişi'!$B$4:$AC$146,24,FALSE),"")</f>
        <v/>
      </c>
      <c r="AN110" s="147" t="str">
        <f>IF(VLOOKUP($B110,'Satınalma Takvimi Veri Girişi'!$B$4:$AC$146,25,FALSE)&lt;&gt;"",VLOOKUP($B110,'Satınalma Takvimi Veri Girişi'!$B$4:$AC$146,25,FALSE),"")</f>
        <v/>
      </c>
      <c r="AO110" s="147" t="str">
        <f>IF(VLOOKUP($B110,'Satınalma Takvimi Veri Girişi'!$B$4:$AC$146,26,FALSE)&lt;&gt;"",VLOOKUP($B110,'Satınalma Takvimi Veri Girişi'!$B$4:$AC$146,26,FALSE),"")</f>
        <v/>
      </c>
      <c r="AP110" s="147" t="str">
        <f>IF(VLOOKUP($B110,'Satınalma Takvimi Veri Girişi'!$B$4:$AC$146,27,FALSE)&lt;&gt;"",VLOOKUP($B110,'Satınalma Takvimi Veri Girişi'!$B$4:$AC$146,27,FALSE),"")</f>
        <v/>
      </c>
      <c r="AQ110" s="148" t="str">
        <f>IF(VLOOKUP($B110,'Satınalma Takvimi Veri Girişi'!$B$4:$AC$146,28,FALSE)&lt;&gt;"",VLOOKUP($B110,'Satınalma Takvimi Veri Girişi'!$B$4:$AC$146,28,FALSE),"")</f>
        <v/>
      </c>
    </row>
    <row r="111" spans="2:43" ht="19.8" customHeight="1" x14ac:dyDescent="0.3">
      <c r="B111" s="64" t="str">
        <f>Şablon!E110</f>
        <v>IHL.3028.105/1</v>
      </c>
      <c r="C111" s="139" t="str">
        <f>VLOOKUP($B111,Şablon!$E$3:$Q$255,2,FALSE)</f>
        <v>29.05.01 (M) KENT EKİPMANLARI</v>
      </c>
      <c r="D111" s="161" t="str">
        <f>IF(VLOOKUP($B111,'Satınalma Takvimi Veri Girişi'!$B$4:$AC$146,3,FALSE)&lt;&gt;"",VLOOKUP($B111,'Satınalma Takvimi Veri Girişi'!$B$4:$AC$146,3,FALSE),"")</f>
        <v/>
      </c>
      <c r="E111" s="139" t="str">
        <f>VLOOKUP($B111,Şablon!$E$3:$Q$255,3,FALSE)</f>
        <v>C KATEGORİ</v>
      </c>
      <c r="F111" s="140" t="str">
        <f>VLOOKUP($B111,Şablon!$E$3:$Q$255,4,FALSE)</f>
        <v>İNŞ</v>
      </c>
      <c r="G111" s="141">
        <f>VLOOKUP($B111,Şablon!$E$3:$Q$255,5,FALSE)</f>
        <v>0</v>
      </c>
      <c r="H111" s="142" t="str">
        <f t="shared" si="14"/>
        <v/>
      </c>
      <c r="I111" s="143" t="str">
        <f t="shared" si="15"/>
        <v/>
      </c>
      <c r="J111" s="144" t="str">
        <f>IF(VLOOKUP($B111,'Satınalma Takvimi Veri Girişi'!$B$4:$AC$146,7,FALSE)&lt;&gt;"",VLOOKUP($B111,'Satınalma Takvimi Veri Girişi'!$B$4:$AC$146,7,FALSE),"")</f>
        <v/>
      </c>
      <c r="K111" s="141">
        <f>VLOOKUP($B111,Şablon!$E$3:$Q$255,6,FALSE)</f>
        <v>14</v>
      </c>
      <c r="L111" s="142" t="str">
        <f t="shared" si="16"/>
        <v/>
      </c>
      <c r="M111" s="143" t="str">
        <f t="shared" si="17"/>
        <v/>
      </c>
      <c r="N111" s="144" t="str">
        <f>IF(VLOOKUP($B111,'Satınalma Takvimi Veri Girişi'!$B$4:$AC$146,9,FALSE)&lt;&gt;"",VLOOKUP($B111,'Satınalma Takvimi Veri Girişi'!$B$4:$AC$146,9,FALSE),"")</f>
        <v/>
      </c>
      <c r="O111" s="141">
        <f>VLOOKUP($B111,Şablon!$E$3:$Q$255,7,FALSE)</f>
        <v>7</v>
      </c>
      <c r="P111" s="142" t="str">
        <f t="shared" si="18"/>
        <v/>
      </c>
      <c r="Q111" s="143" t="str">
        <f t="shared" si="19"/>
        <v/>
      </c>
      <c r="R111" s="144" t="str">
        <f>IF(VLOOKUP($B111,'Satınalma Takvimi Veri Girişi'!$B$4:$AC$146,11,FALSE)&lt;&gt;"",VLOOKUP($B111,'Satınalma Takvimi Veri Girişi'!$B$4:$AC$146,11,FALSE),"")</f>
        <v/>
      </c>
      <c r="S111" s="141">
        <f>VLOOKUP($B111,Şablon!$E$3:$Q$255,8,FALSE)</f>
        <v>14</v>
      </c>
      <c r="T111" s="142" t="str">
        <f t="shared" si="20"/>
        <v/>
      </c>
      <c r="U111" s="143" t="str">
        <f t="shared" si="21"/>
        <v/>
      </c>
      <c r="V111" s="144" t="str">
        <f>IF(VLOOKUP($B111,'Satınalma Takvimi Veri Girişi'!$B$4:$AC$146,13,FALSE)&lt;&gt;"",VLOOKUP($B111,'Satınalma Takvimi Veri Girişi'!$B$4:$AC$146,13,FALSE),"")</f>
        <v/>
      </c>
      <c r="W111" s="141">
        <f>VLOOKUP($B111,Şablon!$E$3:$Q$255,9,FALSE)</f>
        <v>7</v>
      </c>
      <c r="X111" s="142" t="str">
        <f t="shared" si="22"/>
        <v/>
      </c>
      <c r="Y111" s="143" t="str">
        <f t="shared" si="23"/>
        <v/>
      </c>
      <c r="Z111" s="144" t="str">
        <f>IF(VLOOKUP($B111,'Satınalma Takvimi Veri Girişi'!$B$4:$AC$146,15,FALSE)&lt;&gt;"",VLOOKUP($B111,'Satınalma Takvimi Veri Girişi'!$B$4:$AC$146,15,FALSE),"")</f>
        <v/>
      </c>
      <c r="AA111" s="141">
        <f>VLOOKUP($B111,Şablon!$E$3:$Q$255,10,FALSE)</f>
        <v>7</v>
      </c>
      <c r="AB111" s="142" t="str">
        <f t="shared" si="24"/>
        <v/>
      </c>
      <c r="AC111" s="143" t="str">
        <f t="shared" si="25"/>
        <v/>
      </c>
      <c r="AD111" s="144" t="str">
        <f>IF(VLOOKUP($B111,'Satınalma Takvimi Veri Girişi'!$B$4:$AC$146,17,FALSE)&lt;&gt;"",VLOOKUP($B111,'Satınalma Takvimi Veri Girişi'!$B$4:$AC$146,17,FALSE),"")</f>
        <v/>
      </c>
      <c r="AE111" s="141">
        <f>(VLOOKUP($B111,Şablon!$E$3:$Q$255,11,FALSE)+VLOOKUP($B111,Şablon!$E$3:$Q$255,12,FALSE))</f>
        <v>35</v>
      </c>
      <c r="AF111" s="142" t="str">
        <f t="shared" si="26"/>
        <v/>
      </c>
      <c r="AG111" s="143" t="str">
        <f t="shared" si="27"/>
        <v/>
      </c>
      <c r="AH111" s="144" t="str">
        <f>IF(VLOOKUP($B111,'Satınalma Takvimi Veri Girişi'!$B$4:$AC$146,19,FALSE)&lt;&gt;"",VLOOKUP($B111,'Satınalma Takvimi Veri Girişi'!$B$4:$AC$146,19,FALSE),"")</f>
        <v/>
      </c>
      <c r="AI111" s="145" t="str">
        <f>IF(VLOOKUP($B111,'Satınalma Takvimi Veri Girişi'!$B$4:$AC$146,20,FALSE)&lt;&gt;"",VLOOKUP($B111,'Satınalma Takvimi Veri Girişi'!$B$4:$AC$146,20,FALSE),"")</f>
        <v/>
      </c>
      <c r="AJ111" s="144" t="str">
        <f>IF(VLOOKUP($B111,'Satınalma Takvimi Veri Girişi'!$B$4:$AC$146,21,FALSE)&lt;&gt;"",VLOOKUP($B111,'Satınalma Takvimi Veri Girişi'!$B$4:$AC$146,21,FALSE),"")</f>
        <v/>
      </c>
      <c r="AK111" s="146" t="str">
        <f>IF(VLOOKUP($B111,'Satınalma Takvimi Veri Girişi'!$B$4:$AC$146,22,FALSE)&lt;&gt;"",VLOOKUP($B111,'Satınalma Takvimi Veri Girişi'!$B$4:$AC$146,22,FALSE),"")</f>
        <v/>
      </c>
      <c r="AL111" s="147" t="str">
        <f>IF(VLOOKUP($B111,'Satınalma Takvimi Veri Girişi'!$B$4:$AC$146,23,FALSE)&lt;&gt;"",VLOOKUP($B111,'Satınalma Takvimi Veri Girişi'!$B$4:$AC$146,23,FALSE),"")</f>
        <v/>
      </c>
      <c r="AM111" s="147" t="str">
        <f>IF(VLOOKUP($B111,'Satınalma Takvimi Veri Girişi'!$B$4:$AC$146,24,FALSE)&lt;&gt;"",VLOOKUP($B111,'Satınalma Takvimi Veri Girişi'!$B$4:$AC$146,24,FALSE),"")</f>
        <v/>
      </c>
      <c r="AN111" s="147" t="str">
        <f>IF(VLOOKUP($B111,'Satınalma Takvimi Veri Girişi'!$B$4:$AC$146,25,FALSE)&lt;&gt;"",VLOOKUP($B111,'Satınalma Takvimi Veri Girişi'!$B$4:$AC$146,25,FALSE),"")</f>
        <v/>
      </c>
      <c r="AO111" s="147" t="str">
        <f>IF(VLOOKUP($B111,'Satınalma Takvimi Veri Girişi'!$B$4:$AC$146,26,FALSE)&lt;&gt;"",VLOOKUP($B111,'Satınalma Takvimi Veri Girişi'!$B$4:$AC$146,26,FALSE),"")</f>
        <v/>
      </c>
      <c r="AP111" s="147" t="str">
        <f>IF(VLOOKUP($B111,'Satınalma Takvimi Veri Girişi'!$B$4:$AC$146,27,FALSE)&lt;&gt;"",VLOOKUP($B111,'Satınalma Takvimi Veri Girişi'!$B$4:$AC$146,27,FALSE),"")</f>
        <v/>
      </c>
      <c r="AQ111" s="148" t="str">
        <f>IF(VLOOKUP($B111,'Satınalma Takvimi Veri Girişi'!$B$4:$AC$146,28,FALSE)&lt;&gt;"",VLOOKUP($B111,'Satınalma Takvimi Veri Girişi'!$B$4:$AC$146,28,FALSE),"")</f>
        <v/>
      </c>
    </row>
    <row r="112" spans="2:43" ht="19.8" customHeight="1" x14ac:dyDescent="0.3">
      <c r="B112" s="64" t="str">
        <f>Şablon!E111</f>
        <v>IHL.3028.106/1</v>
      </c>
      <c r="C112" s="139" t="str">
        <f>VLOOKUP($B112,Şablon!$E$3:$Q$255,2,FALSE)</f>
        <v>15.16.00 DAİRE İÇİ TEMİZLİK</v>
      </c>
      <c r="D112" s="161" t="str">
        <f>IF(VLOOKUP($B112,'Satınalma Takvimi Veri Girişi'!$B$4:$AC$146,3,FALSE)&lt;&gt;"",VLOOKUP($B112,'Satınalma Takvimi Veri Girişi'!$B$4:$AC$146,3,FALSE),"")</f>
        <v/>
      </c>
      <c r="E112" s="139" t="str">
        <f>VLOOKUP($B112,Şablon!$E$3:$Q$255,3,FALSE)</f>
        <v>B KATEGORİ</v>
      </c>
      <c r="F112" s="140" t="str">
        <f>VLOOKUP($B112,Şablon!$E$3:$Q$255,4,FALSE)</f>
        <v>İNŞ</v>
      </c>
      <c r="G112" s="141">
        <f>VLOOKUP($B112,Şablon!$E$3:$Q$255,5,FALSE)</f>
        <v>0</v>
      </c>
      <c r="H112" s="142" t="str">
        <f t="shared" si="14"/>
        <v/>
      </c>
      <c r="I112" s="143" t="str">
        <f t="shared" si="15"/>
        <v/>
      </c>
      <c r="J112" s="144" t="str">
        <f>IF(VLOOKUP($B112,'Satınalma Takvimi Veri Girişi'!$B$4:$AC$146,7,FALSE)&lt;&gt;"",VLOOKUP($B112,'Satınalma Takvimi Veri Girişi'!$B$4:$AC$146,7,FALSE),"")</f>
        <v/>
      </c>
      <c r="K112" s="141">
        <f>VLOOKUP($B112,Şablon!$E$3:$Q$255,6,FALSE)</f>
        <v>14</v>
      </c>
      <c r="L112" s="142" t="str">
        <f t="shared" si="16"/>
        <v/>
      </c>
      <c r="M112" s="143" t="str">
        <f t="shared" si="17"/>
        <v/>
      </c>
      <c r="N112" s="144" t="str">
        <f>IF(VLOOKUP($B112,'Satınalma Takvimi Veri Girişi'!$B$4:$AC$146,9,FALSE)&lt;&gt;"",VLOOKUP($B112,'Satınalma Takvimi Veri Girişi'!$B$4:$AC$146,9,FALSE),"")</f>
        <v/>
      </c>
      <c r="O112" s="141">
        <f>VLOOKUP($B112,Şablon!$E$3:$Q$255,7,FALSE)</f>
        <v>7</v>
      </c>
      <c r="P112" s="142" t="str">
        <f t="shared" si="18"/>
        <v/>
      </c>
      <c r="Q112" s="143" t="str">
        <f t="shared" si="19"/>
        <v/>
      </c>
      <c r="R112" s="144" t="str">
        <f>IF(VLOOKUP($B112,'Satınalma Takvimi Veri Girişi'!$B$4:$AC$146,11,FALSE)&lt;&gt;"",VLOOKUP($B112,'Satınalma Takvimi Veri Girişi'!$B$4:$AC$146,11,FALSE),"")</f>
        <v/>
      </c>
      <c r="S112" s="141">
        <f>VLOOKUP($B112,Şablon!$E$3:$Q$255,8,FALSE)</f>
        <v>14</v>
      </c>
      <c r="T112" s="142" t="str">
        <f t="shared" si="20"/>
        <v/>
      </c>
      <c r="U112" s="143" t="str">
        <f t="shared" si="21"/>
        <v/>
      </c>
      <c r="V112" s="144" t="str">
        <f>IF(VLOOKUP($B112,'Satınalma Takvimi Veri Girişi'!$B$4:$AC$146,13,FALSE)&lt;&gt;"",VLOOKUP($B112,'Satınalma Takvimi Veri Girişi'!$B$4:$AC$146,13,FALSE),"")</f>
        <v/>
      </c>
      <c r="W112" s="141">
        <f>VLOOKUP($B112,Şablon!$E$3:$Q$255,9,FALSE)</f>
        <v>7</v>
      </c>
      <c r="X112" s="142" t="str">
        <f t="shared" si="22"/>
        <v/>
      </c>
      <c r="Y112" s="143" t="str">
        <f t="shared" si="23"/>
        <v/>
      </c>
      <c r="Z112" s="144" t="str">
        <f>IF(VLOOKUP($B112,'Satınalma Takvimi Veri Girişi'!$B$4:$AC$146,15,FALSE)&lt;&gt;"",VLOOKUP($B112,'Satınalma Takvimi Veri Girişi'!$B$4:$AC$146,15,FALSE),"")</f>
        <v/>
      </c>
      <c r="AA112" s="141">
        <f>VLOOKUP($B112,Şablon!$E$3:$Q$255,10,FALSE)</f>
        <v>7</v>
      </c>
      <c r="AB112" s="142" t="str">
        <f t="shared" si="24"/>
        <v/>
      </c>
      <c r="AC112" s="143" t="str">
        <f t="shared" si="25"/>
        <v/>
      </c>
      <c r="AD112" s="144" t="str">
        <f>IF(VLOOKUP($B112,'Satınalma Takvimi Veri Girişi'!$B$4:$AC$146,17,FALSE)&lt;&gt;"",VLOOKUP($B112,'Satınalma Takvimi Veri Girişi'!$B$4:$AC$146,17,FALSE),"")</f>
        <v/>
      </c>
      <c r="AE112" s="141">
        <f>(VLOOKUP($B112,Şablon!$E$3:$Q$255,11,FALSE)+VLOOKUP($B112,Şablon!$E$3:$Q$255,12,FALSE))</f>
        <v>7</v>
      </c>
      <c r="AF112" s="142" t="str">
        <f t="shared" si="26"/>
        <v/>
      </c>
      <c r="AG112" s="143" t="str">
        <f t="shared" si="27"/>
        <v/>
      </c>
      <c r="AH112" s="144" t="str">
        <f>IF(VLOOKUP($B112,'Satınalma Takvimi Veri Girişi'!$B$4:$AC$146,19,FALSE)&lt;&gt;"",VLOOKUP($B112,'Satınalma Takvimi Veri Girişi'!$B$4:$AC$146,19,FALSE),"")</f>
        <v/>
      </c>
      <c r="AI112" s="145" t="str">
        <f>IF(VLOOKUP($B112,'Satınalma Takvimi Veri Girişi'!$B$4:$AC$146,20,FALSE)&lt;&gt;"",VLOOKUP($B112,'Satınalma Takvimi Veri Girişi'!$B$4:$AC$146,20,FALSE),"")</f>
        <v/>
      </c>
      <c r="AJ112" s="144" t="str">
        <f>IF(VLOOKUP($B112,'Satınalma Takvimi Veri Girişi'!$B$4:$AC$146,21,FALSE)&lt;&gt;"",VLOOKUP($B112,'Satınalma Takvimi Veri Girişi'!$B$4:$AC$146,21,FALSE),"")</f>
        <v/>
      </c>
      <c r="AK112" s="146" t="str">
        <f>IF(VLOOKUP($B112,'Satınalma Takvimi Veri Girişi'!$B$4:$AC$146,22,FALSE)&lt;&gt;"",VLOOKUP($B112,'Satınalma Takvimi Veri Girişi'!$B$4:$AC$146,22,FALSE),"")</f>
        <v/>
      </c>
      <c r="AL112" s="147" t="str">
        <f>IF(VLOOKUP($B112,'Satınalma Takvimi Veri Girişi'!$B$4:$AC$146,23,FALSE)&lt;&gt;"",VLOOKUP($B112,'Satınalma Takvimi Veri Girişi'!$B$4:$AC$146,23,FALSE),"")</f>
        <v/>
      </c>
      <c r="AM112" s="147" t="str">
        <f>IF(VLOOKUP($B112,'Satınalma Takvimi Veri Girişi'!$B$4:$AC$146,24,FALSE)&lt;&gt;"",VLOOKUP($B112,'Satınalma Takvimi Veri Girişi'!$B$4:$AC$146,24,FALSE),"")</f>
        <v/>
      </c>
      <c r="AN112" s="147" t="str">
        <f>IF(VLOOKUP($B112,'Satınalma Takvimi Veri Girişi'!$B$4:$AC$146,25,FALSE)&lt;&gt;"",VLOOKUP($B112,'Satınalma Takvimi Veri Girişi'!$B$4:$AC$146,25,FALSE),"")</f>
        <v/>
      </c>
      <c r="AO112" s="147" t="str">
        <f>IF(VLOOKUP($B112,'Satınalma Takvimi Veri Girişi'!$B$4:$AC$146,26,FALSE)&lt;&gt;"",VLOOKUP($B112,'Satınalma Takvimi Veri Girişi'!$B$4:$AC$146,26,FALSE),"")</f>
        <v/>
      </c>
      <c r="AP112" s="147" t="str">
        <f>IF(VLOOKUP($B112,'Satınalma Takvimi Veri Girişi'!$B$4:$AC$146,27,FALSE)&lt;&gt;"",VLOOKUP($B112,'Satınalma Takvimi Veri Girişi'!$B$4:$AC$146,27,FALSE),"")</f>
        <v/>
      </c>
      <c r="AQ112" s="148" t="str">
        <f>IF(VLOOKUP($B112,'Satınalma Takvimi Veri Girişi'!$B$4:$AC$146,28,FALSE)&lt;&gt;"",VLOOKUP($B112,'Satınalma Takvimi Veri Girişi'!$B$4:$AC$146,28,FALSE),"")</f>
        <v/>
      </c>
    </row>
    <row r="113" spans="2:43" ht="19.8" customHeight="1" x14ac:dyDescent="0.3">
      <c r="B113" s="64" t="str">
        <f>Şablon!E112</f>
        <v>IHL.3028.107/1</v>
      </c>
      <c r="C113" s="139" t="str">
        <f>VLOOKUP($B113,Şablon!$E$3:$Q$255,2,FALSE)</f>
        <v>15.15.00 BİNA YÖNLENDİRME</v>
      </c>
      <c r="D113" s="161" t="str">
        <f>IF(VLOOKUP($B113,'Satınalma Takvimi Veri Girişi'!$B$4:$AC$146,3,FALSE)&lt;&gt;"",VLOOKUP($B113,'Satınalma Takvimi Veri Girişi'!$B$4:$AC$146,3,FALSE),"")</f>
        <v/>
      </c>
      <c r="E113" s="139" t="str">
        <f>VLOOKUP($B113,Şablon!$E$3:$Q$255,3,FALSE)</f>
        <v>B KATEGORİ</v>
      </c>
      <c r="F113" s="140" t="str">
        <f>VLOOKUP($B113,Şablon!$E$3:$Q$255,4,FALSE)</f>
        <v>İNŞ</v>
      </c>
      <c r="G113" s="141">
        <f>VLOOKUP($B113,Şablon!$E$3:$Q$255,5,FALSE)</f>
        <v>0</v>
      </c>
      <c r="H113" s="142" t="str">
        <f t="shared" si="14"/>
        <v/>
      </c>
      <c r="I113" s="143" t="str">
        <f t="shared" si="15"/>
        <v/>
      </c>
      <c r="J113" s="144" t="str">
        <f>IF(VLOOKUP($B113,'Satınalma Takvimi Veri Girişi'!$B$4:$AC$146,7,FALSE)&lt;&gt;"",VLOOKUP($B113,'Satınalma Takvimi Veri Girişi'!$B$4:$AC$146,7,FALSE),"")</f>
        <v/>
      </c>
      <c r="K113" s="141">
        <f>VLOOKUP($B113,Şablon!$E$3:$Q$255,6,FALSE)</f>
        <v>14</v>
      </c>
      <c r="L113" s="142" t="str">
        <f t="shared" si="16"/>
        <v/>
      </c>
      <c r="M113" s="143" t="str">
        <f t="shared" si="17"/>
        <v/>
      </c>
      <c r="N113" s="144" t="str">
        <f>IF(VLOOKUP($B113,'Satınalma Takvimi Veri Girişi'!$B$4:$AC$146,9,FALSE)&lt;&gt;"",VLOOKUP($B113,'Satınalma Takvimi Veri Girişi'!$B$4:$AC$146,9,FALSE),"")</f>
        <v/>
      </c>
      <c r="O113" s="141">
        <f>VLOOKUP($B113,Şablon!$E$3:$Q$255,7,FALSE)</f>
        <v>7</v>
      </c>
      <c r="P113" s="142" t="str">
        <f t="shared" si="18"/>
        <v/>
      </c>
      <c r="Q113" s="143" t="str">
        <f t="shared" si="19"/>
        <v/>
      </c>
      <c r="R113" s="144" t="str">
        <f>IF(VLOOKUP($B113,'Satınalma Takvimi Veri Girişi'!$B$4:$AC$146,11,FALSE)&lt;&gt;"",VLOOKUP($B113,'Satınalma Takvimi Veri Girişi'!$B$4:$AC$146,11,FALSE),"")</f>
        <v/>
      </c>
      <c r="S113" s="141">
        <f>VLOOKUP($B113,Şablon!$E$3:$Q$255,8,FALSE)</f>
        <v>14</v>
      </c>
      <c r="T113" s="142" t="str">
        <f t="shared" si="20"/>
        <v/>
      </c>
      <c r="U113" s="143" t="str">
        <f t="shared" si="21"/>
        <v/>
      </c>
      <c r="V113" s="144" t="str">
        <f>IF(VLOOKUP($B113,'Satınalma Takvimi Veri Girişi'!$B$4:$AC$146,13,FALSE)&lt;&gt;"",VLOOKUP($B113,'Satınalma Takvimi Veri Girişi'!$B$4:$AC$146,13,FALSE),"")</f>
        <v/>
      </c>
      <c r="W113" s="141">
        <f>VLOOKUP($B113,Şablon!$E$3:$Q$255,9,FALSE)</f>
        <v>7</v>
      </c>
      <c r="X113" s="142" t="str">
        <f t="shared" si="22"/>
        <v/>
      </c>
      <c r="Y113" s="143" t="str">
        <f t="shared" si="23"/>
        <v/>
      </c>
      <c r="Z113" s="144" t="str">
        <f>IF(VLOOKUP($B113,'Satınalma Takvimi Veri Girişi'!$B$4:$AC$146,15,FALSE)&lt;&gt;"",VLOOKUP($B113,'Satınalma Takvimi Veri Girişi'!$B$4:$AC$146,15,FALSE),"")</f>
        <v/>
      </c>
      <c r="AA113" s="141">
        <f>VLOOKUP($B113,Şablon!$E$3:$Q$255,10,FALSE)</f>
        <v>7</v>
      </c>
      <c r="AB113" s="142" t="str">
        <f t="shared" si="24"/>
        <v/>
      </c>
      <c r="AC113" s="143" t="str">
        <f t="shared" si="25"/>
        <v/>
      </c>
      <c r="AD113" s="144" t="str">
        <f>IF(VLOOKUP($B113,'Satınalma Takvimi Veri Girişi'!$B$4:$AC$146,17,FALSE)&lt;&gt;"",VLOOKUP($B113,'Satınalma Takvimi Veri Girişi'!$B$4:$AC$146,17,FALSE),"")</f>
        <v/>
      </c>
      <c r="AE113" s="141">
        <f>(VLOOKUP($B113,Şablon!$E$3:$Q$255,11,FALSE)+VLOOKUP($B113,Şablon!$E$3:$Q$255,12,FALSE))</f>
        <v>28</v>
      </c>
      <c r="AF113" s="142" t="str">
        <f t="shared" si="26"/>
        <v/>
      </c>
      <c r="AG113" s="143" t="str">
        <f t="shared" si="27"/>
        <v/>
      </c>
      <c r="AH113" s="144" t="str">
        <f>IF(VLOOKUP($B113,'Satınalma Takvimi Veri Girişi'!$B$4:$AC$146,19,FALSE)&lt;&gt;"",VLOOKUP($B113,'Satınalma Takvimi Veri Girişi'!$B$4:$AC$146,19,FALSE),"")</f>
        <v/>
      </c>
      <c r="AI113" s="145" t="str">
        <f>IF(VLOOKUP($B113,'Satınalma Takvimi Veri Girişi'!$B$4:$AC$146,20,FALSE)&lt;&gt;"",VLOOKUP($B113,'Satınalma Takvimi Veri Girişi'!$B$4:$AC$146,20,FALSE),"")</f>
        <v/>
      </c>
      <c r="AJ113" s="144" t="str">
        <f>IF(VLOOKUP($B113,'Satınalma Takvimi Veri Girişi'!$B$4:$AC$146,21,FALSE)&lt;&gt;"",VLOOKUP($B113,'Satınalma Takvimi Veri Girişi'!$B$4:$AC$146,21,FALSE),"")</f>
        <v/>
      </c>
      <c r="AK113" s="146" t="str">
        <f>IF(VLOOKUP($B113,'Satınalma Takvimi Veri Girişi'!$B$4:$AC$146,22,FALSE)&lt;&gt;"",VLOOKUP($B113,'Satınalma Takvimi Veri Girişi'!$B$4:$AC$146,22,FALSE),"")</f>
        <v/>
      </c>
      <c r="AL113" s="147" t="str">
        <f>IF(VLOOKUP($B113,'Satınalma Takvimi Veri Girişi'!$B$4:$AC$146,23,FALSE)&lt;&gt;"",VLOOKUP($B113,'Satınalma Takvimi Veri Girişi'!$B$4:$AC$146,23,FALSE),"")</f>
        <v/>
      </c>
      <c r="AM113" s="147" t="str">
        <f>IF(VLOOKUP($B113,'Satınalma Takvimi Veri Girişi'!$B$4:$AC$146,24,FALSE)&lt;&gt;"",VLOOKUP($B113,'Satınalma Takvimi Veri Girişi'!$B$4:$AC$146,24,FALSE),"")</f>
        <v/>
      </c>
      <c r="AN113" s="147" t="str">
        <f>IF(VLOOKUP($B113,'Satınalma Takvimi Veri Girişi'!$B$4:$AC$146,25,FALSE)&lt;&gt;"",VLOOKUP($B113,'Satınalma Takvimi Veri Girişi'!$B$4:$AC$146,25,FALSE),"")</f>
        <v/>
      </c>
      <c r="AO113" s="147" t="str">
        <f>IF(VLOOKUP($B113,'Satınalma Takvimi Veri Girişi'!$B$4:$AC$146,26,FALSE)&lt;&gt;"",VLOOKUP($B113,'Satınalma Takvimi Veri Girişi'!$B$4:$AC$146,26,FALSE),"")</f>
        <v/>
      </c>
      <c r="AP113" s="147" t="str">
        <f>IF(VLOOKUP($B113,'Satınalma Takvimi Veri Girişi'!$B$4:$AC$146,27,FALSE)&lt;&gt;"",VLOOKUP($B113,'Satınalma Takvimi Veri Girişi'!$B$4:$AC$146,27,FALSE),"")</f>
        <v/>
      </c>
      <c r="AQ113" s="148" t="str">
        <f>IF(VLOOKUP($B113,'Satınalma Takvimi Veri Girişi'!$B$4:$AC$146,28,FALSE)&lt;&gt;"",VLOOKUP($B113,'Satınalma Takvimi Veri Girişi'!$B$4:$AC$146,28,FALSE),"")</f>
        <v/>
      </c>
    </row>
    <row r="114" spans="2:43" ht="19.8" customHeight="1" x14ac:dyDescent="0.3">
      <c r="B114" s="64" t="str">
        <f>Şablon!E113</f>
        <v>IHL.3028.108/1</v>
      </c>
      <c r="C114" s="139" t="str">
        <f>VLOOKUP($B114,Şablon!$E$3:$Q$255,2,FALSE)</f>
        <v>17.02.00 GÜVENLİK KULÜBESİ İŞLERİ</v>
      </c>
      <c r="D114" s="161" t="str">
        <f>IF(VLOOKUP($B114,'Satınalma Takvimi Veri Girişi'!$B$4:$AC$146,3,FALSE)&lt;&gt;"",VLOOKUP($B114,'Satınalma Takvimi Veri Girişi'!$B$4:$AC$146,3,FALSE),"")</f>
        <v/>
      </c>
      <c r="E114" s="139" t="str">
        <f>VLOOKUP($B114,Şablon!$E$3:$Q$255,3,FALSE)</f>
        <v>C KATEGORİ</v>
      </c>
      <c r="F114" s="140" t="str">
        <f>VLOOKUP($B114,Şablon!$E$3:$Q$255,4,FALSE)</f>
        <v>İNŞ</v>
      </c>
      <c r="G114" s="141">
        <f>VLOOKUP($B114,Şablon!$E$3:$Q$255,5,FALSE)</f>
        <v>0</v>
      </c>
      <c r="H114" s="142" t="str">
        <f t="shared" si="14"/>
        <v/>
      </c>
      <c r="I114" s="143" t="str">
        <f t="shared" si="15"/>
        <v/>
      </c>
      <c r="J114" s="144" t="str">
        <f>IF(VLOOKUP($B114,'Satınalma Takvimi Veri Girişi'!$B$4:$AC$146,7,FALSE)&lt;&gt;"",VLOOKUP($B114,'Satınalma Takvimi Veri Girişi'!$B$4:$AC$146,7,FALSE),"")</f>
        <v/>
      </c>
      <c r="K114" s="141">
        <f>VLOOKUP($B114,Şablon!$E$3:$Q$255,6,FALSE)</f>
        <v>14</v>
      </c>
      <c r="L114" s="142" t="str">
        <f t="shared" si="16"/>
        <v/>
      </c>
      <c r="M114" s="143" t="str">
        <f t="shared" si="17"/>
        <v/>
      </c>
      <c r="N114" s="144" t="str">
        <f>IF(VLOOKUP($B114,'Satınalma Takvimi Veri Girişi'!$B$4:$AC$146,9,FALSE)&lt;&gt;"",VLOOKUP($B114,'Satınalma Takvimi Veri Girişi'!$B$4:$AC$146,9,FALSE),"")</f>
        <v/>
      </c>
      <c r="O114" s="141">
        <f>VLOOKUP($B114,Şablon!$E$3:$Q$255,7,FALSE)</f>
        <v>7</v>
      </c>
      <c r="P114" s="142" t="str">
        <f t="shared" si="18"/>
        <v/>
      </c>
      <c r="Q114" s="143" t="str">
        <f t="shared" si="19"/>
        <v/>
      </c>
      <c r="R114" s="144" t="str">
        <f>IF(VLOOKUP($B114,'Satınalma Takvimi Veri Girişi'!$B$4:$AC$146,11,FALSE)&lt;&gt;"",VLOOKUP($B114,'Satınalma Takvimi Veri Girişi'!$B$4:$AC$146,11,FALSE),"")</f>
        <v/>
      </c>
      <c r="S114" s="141">
        <f>VLOOKUP($B114,Şablon!$E$3:$Q$255,8,FALSE)</f>
        <v>21</v>
      </c>
      <c r="T114" s="142" t="str">
        <f t="shared" si="20"/>
        <v/>
      </c>
      <c r="U114" s="143" t="str">
        <f t="shared" si="21"/>
        <v/>
      </c>
      <c r="V114" s="144" t="str">
        <f>IF(VLOOKUP($B114,'Satınalma Takvimi Veri Girişi'!$B$4:$AC$146,13,FALSE)&lt;&gt;"",VLOOKUP($B114,'Satınalma Takvimi Veri Girişi'!$B$4:$AC$146,13,FALSE),"")</f>
        <v/>
      </c>
      <c r="W114" s="141">
        <f>VLOOKUP($B114,Şablon!$E$3:$Q$255,9,FALSE)</f>
        <v>7</v>
      </c>
      <c r="X114" s="142" t="str">
        <f t="shared" si="22"/>
        <v/>
      </c>
      <c r="Y114" s="143" t="str">
        <f t="shared" si="23"/>
        <v/>
      </c>
      <c r="Z114" s="144" t="str">
        <f>IF(VLOOKUP($B114,'Satınalma Takvimi Veri Girişi'!$B$4:$AC$146,15,FALSE)&lt;&gt;"",VLOOKUP($B114,'Satınalma Takvimi Veri Girişi'!$B$4:$AC$146,15,FALSE),"")</f>
        <v/>
      </c>
      <c r="AA114" s="141">
        <f>VLOOKUP($B114,Şablon!$E$3:$Q$255,10,FALSE)</f>
        <v>14</v>
      </c>
      <c r="AB114" s="142" t="str">
        <f t="shared" si="24"/>
        <v/>
      </c>
      <c r="AC114" s="143" t="str">
        <f t="shared" si="25"/>
        <v/>
      </c>
      <c r="AD114" s="144" t="str">
        <f>IF(VLOOKUP($B114,'Satınalma Takvimi Veri Girişi'!$B$4:$AC$146,17,FALSE)&lt;&gt;"",VLOOKUP($B114,'Satınalma Takvimi Veri Girişi'!$B$4:$AC$146,17,FALSE),"")</f>
        <v/>
      </c>
      <c r="AE114" s="141">
        <f>(VLOOKUP($B114,Şablon!$E$3:$Q$255,11,FALSE)+VLOOKUP($B114,Şablon!$E$3:$Q$255,12,FALSE))</f>
        <v>42</v>
      </c>
      <c r="AF114" s="142" t="str">
        <f t="shared" si="26"/>
        <v/>
      </c>
      <c r="AG114" s="143" t="str">
        <f t="shared" si="27"/>
        <v/>
      </c>
      <c r="AH114" s="144" t="str">
        <f>IF(VLOOKUP($B114,'Satınalma Takvimi Veri Girişi'!$B$4:$AC$146,19,FALSE)&lt;&gt;"",VLOOKUP($B114,'Satınalma Takvimi Veri Girişi'!$B$4:$AC$146,19,FALSE),"")</f>
        <v/>
      </c>
      <c r="AI114" s="145" t="str">
        <f>IF(VLOOKUP($B114,'Satınalma Takvimi Veri Girişi'!$B$4:$AC$146,20,FALSE)&lt;&gt;"",VLOOKUP($B114,'Satınalma Takvimi Veri Girişi'!$B$4:$AC$146,20,FALSE),"")</f>
        <v/>
      </c>
      <c r="AJ114" s="144" t="str">
        <f>IF(VLOOKUP($B114,'Satınalma Takvimi Veri Girişi'!$B$4:$AC$146,21,FALSE)&lt;&gt;"",VLOOKUP($B114,'Satınalma Takvimi Veri Girişi'!$B$4:$AC$146,21,FALSE),"")</f>
        <v/>
      </c>
      <c r="AK114" s="146" t="str">
        <f>IF(VLOOKUP($B114,'Satınalma Takvimi Veri Girişi'!$B$4:$AC$146,22,FALSE)&lt;&gt;"",VLOOKUP($B114,'Satınalma Takvimi Veri Girişi'!$B$4:$AC$146,22,FALSE),"")</f>
        <v/>
      </c>
      <c r="AL114" s="147" t="str">
        <f>IF(VLOOKUP($B114,'Satınalma Takvimi Veri Girişi'!$B$4:$AC$146,23,FALSE)&lt;&gt;"",VLOOKUP($B114,'Satınalma Takvimi Veri Girişi'!$B$4:$AC$146,23,FALSE),"")</f>
        <v/>
      </c>
      <c r="AM114" s="147" t="str">
        <f>IF(VLOOKUP($B114,'Satınalma Takvimi Veri Girişi'!$B$4:$AC$146,24,FALSE)&lt;&gt;"",VLOOKUP($B114,'Satınalma Takvimi Veri Girişi'!$B$4:$AC$146,24,FALSE),"")</f>
        <v/>
      </c>
      <c r="AN114" s="147" t="str">
        <f>IF(VLOOKUP($B114,'Satınalma Takvimi Veri Girişi'!$B$4:$AC$146,25,FALSE)&lt;&gt;"",VLOOKUP($B114,'Satınalma Takvimi Veri Girişi'!$B$4:$AC$146,25,FALSE),"")</f>
        <v/>
      </c>
      <c r="AO114" s="147" t="str">
        <f>IF(VLOOKUP($B114,'Satınalma Takvimi Veri Girişi'!$B$4:$AC$146,26,FALSE)&lt;&gt;"",VLOOKUP($B114,'Satınalma Takvimi Veri Girişi'!$B$4:$AC$146,26,FALSE),"")</f>
        <v/>
      </c>
      <c r="AP114" s="147" t="str">
        <f>IF(VLOOKUP($B114,'Satınalma Takvimi Veri Girişi'!$B$4:$AC$146,27,FALSE)&lt;&gt;"",VLOOKUP($B114,'Satınalma Takvimi Veri Girişi'!$B$4:$AC$146,27,FALSE),"")</f>
        <v/>
      </c>
      <c r="AQ114" s="148" t="str">
        <f>IF(VLOOKUP($B114,'Satınalma Takvimi Veri Girişi'!$B$4:$AC$146,28,FALSE)&lt;&gt;"",VLOOKUP($B114,'Satınalma Takvimi Veri Girişi'!$B$4:$AC$146,28,FALSE),"")</f>
        <v/>
      </c>
    </row>
    <row r="115" spans="2:43" ht="19.8" customHeight="1" x14ac:dyDescent="0.3">
      <c r="B115" s="64" t="str">
        <f>Şablon!E114</f>
        <v>IHL.3028.109/1</v>
      </c>
      <c r="C115" s="139" t="str">
        <f>VLOOKUP($B115,Şablon!$E$3:$Q$255,2,FALSE)</f>
        <v>29.06.00 PANEL ÇİT İŞLERİ</v>
      </c>
      <c r="D115" s="161" t="str">
        <f>IF(VLOOKUP($B115,'Satınalma Takvimi Veri Girişi'!$B$4:$AC$146,3,FALSE)&lt;&gt;"",VLOOKUP($B115,'Satınalma Takvimi Veri Girişi'!$B$4:$AC$146,3,FALSE),"")</f>
        <v/>
      </c>
      <c r="E115" s="139" t="str">
        <f>VLOOKUP($B115,Şablon!$E$3:$Q$255,3,FALSE)</f>
        <v>C KATEGORİ</v>
      </c>
      <c r="F115" s="140" t="str">
        <f>VLOOKUP($B115,Şablon!$E$3:$Q$255,4,FALSE)</f>
        <v>İNŞ</v>
      </c>
      <c r="G115" s="141">
        <f>VLOOKUP($B115,Şablon!$E$3:$Q$255,5,FALSE)</f>
        <v>0</v>
      </c>
      <c r="H115" s="142" t="str">
        <f t="shared" si="14"/>
        <v/>
      </c>
      <c r="I115" s="143" t="str">
        <f t="shared" si="15"/>
        <v/>
      </c>
      <c r="J115" s="144" t="str">
        <f>IF(VLOOKUP($B115,'Satınalma Takvimi Veri Girişi'!$B$4:$AC$146,7,FALSE)&lt;&gt;"",VLOOKUP($B115,'Satınalma Takvimi Veri Girişi'!$B$4:$AC$146,7,FALSE),"")</f>
        <v/>
      </c>
      <c r="K115" s="141">
        <f>VLOOKUP($B115,Şablon!$E$3:$Q$255,6,FALSE)</f>
        <v>14</v>
      </c>
      <c r="L115" s="142" t="str">
        <f t="shared" si="16"/>
        <v/>
      </c>
      <c r="M115" s="143" t="str">
        <f t="shared" si="17"/>
        <v/>
      </c>
      <c r="N115" s="144" t="str">
        <f>IF(VLOOKUP($B115,'Satınalma Takvimi Veri Girişi'!$B$4:$AC$146,9,FALSE)&lt;&gt;"",VLOOKUP($B115,'Satınalma Takvimi Veri Girişi'!$B$4:$AC$146,9,FALSE),"")</f>
        <v/>
      </c>
      <c r="O115" s="141">
        <f>VLOOKUP($B115,Şablon!$E$3:$Q$255,7,FALSE)</f>
        <v>7</v>
      </c>
      <c r="P115" s="142" t="str">
        <f t="shared" si="18"/>
        <v/>
      </c>
      <c r="Q115" s="143" t="str">
        <f t="shared" si="19"/>
        <v/>
      </c>
      <c r="R115" s="144" t="str">
        <f>IF(VLOOKUP($B115,'Satınalma Takvimi Veri Girişi'!$B$4:$AC$146,11,FALSE)&lt;&gt;"",VLOOKUP($B115,'Satınalma Takvimi Veri Girişi'!$B$4:$AC$146,11,FALSE),"")</f>
        <v/>
      </c>
      <c r="S115" s="141">
        <f>VLOOKUP($B115,Şablon!$E$3:$Q$255,8,FALSE)</f>
        <v>14</v>
      </c>
      <c r="T115" s="142" t="str">
        <f t="shared" si="20"/>
        <v/>
      </c>
      <c r="U115" s="143" t="str">
        <f t="shared" si="21"/>
        <v/>
      </c>
      <c r="V115" s="144" t="str">
        <f>IF(VLOOKUP($B115,'Satınalma Takvimi Veri Girişi'!$B$4:$AC$146,13,FALSE)&lt;&gt;"",VLOOKUP($B115,'Satınalma Takvimi Veri Girişi'!$B$4:$AC$146,13,FALSE),"")</f>
        <v/>
      </c>
      <c r="W115" s="141">
        <f>VLOOKUP($B115,Şablon!$E$3:$Q$255,9,FALSE)</f>
        <v>7</v>
      </c>
      <c r="X115" s="142" t="str">
        <f t="shared" si="22"/>
        <v/>
      </c>
      <c r="Y115" s="143" t="str">
        <f t="shared" si="23"/>
        <v/>
      </c>
      <c r="Z115" s="144" t="str">
        <f>IF(VLOOKUP($B115,'Satınalma Takvimi Veri Girişi'!$B$4:$AC$146,15,FALSE)&lt;&gt;"",VLOOKUP($B115,'Satınalma Takvimi Veri Girişi'!$B$4:$AC$146,15,FALSE),"")</f>
        <v/>
      </c>
      <c r="AA115" s="141">
        <f>VLOOKUP($B115,Şablon!$E$3:$Q$255,10,FALSE)</f>
        <v>14</v>
      </c>
      <c r="AB115" s="142" t="str">
        <f t="shared" si="24"/>
        <v/>
      </c>
      <c r="AC115" s="143" t="str">
        <f t="shared" si="25"/>
        <v/>
      </c>
      <c r="AD115" s="144" t="str">
        <f>IF(VLOOKUP($B115,'Satınalma Takvimi Veri Girişi'!$B$4:$AC$146,17,FALSE)&lt;&gt;"",VLOOKUP($B115,'Satınalma Takvimi Veri Girişi'!$B$4:$AC$146,17,FALSE),"")</f>
        <v/>
      </c>
      <c r="AE115" s="141">
        <f>(VLOOKUP($B115,Şablon!$E$3:$Q$255,11,FALSE)+VLOOKUP($B115,Şablon!$E$3:$Q$255,12,FALSE))</f>
        <v>28</v>
      </c>
      <c r="AF115" s="142" t="str">
        <f t="shared" si="26"/>
        <v/>
      </c>
      <c r="AG115" s="143" t="str">
        <f t="shared" si="27"/>
        <v/>
      </c>
      <c r="AH115" s="144" t="str">
        <f>IF(VLOOKUP($B115,'Satınalma Takvimi Veri Girişi'!$B$4:$AC$146,19,FALSE)&lt;&gt;"",VLOOKUP($B115,'Satınalma Takvimi Veri Girişi'!$B$4:$AC$146,19,FALSE),"")</f>
        <v/>
      </c>
      <c r="AI115" s="145" t="str">
        <f>IF(VLOOKUP($B115,'Satınalma Takvimi Veri Girişi'!$B$4:$AC$146,20,FALSE)&lt;&gt;"",VLOOKUP($B115,'Satınalma Takvimi Veri Girişi'!$B$4:$AC$146,20,FALSE),"")</f>
        <v/>
      </c>
      <c r="AJ115" s="144" t="str">
        <f>IF(VLOOKUP($B115,'Satınalma Takvimi Veri Girişi'!$B$4:$AC$146,21,FALSE)&lt;&gt;"",VLOOKUP($B115,'Satınalma Takvimi Veri Girişi'!$B$4:$AC$146,21,FALSE),"")</f>
        <v/>
      </c>
      <c r="AK115" s="146" t="str">
        <f>IF(VLOOKUP($B115,'Satınalma Takvimi Veri Girişi'!$B$4:$AC$146,22,FALSE)&lt;&gt;"",VLOOKUP($B115,'Satınalma Takvimi Veri Girişi'!$B$4:$AC$146,22,FALSE),"")</f>
        <v/>
      </c>
      <c r="AL115" s="147" t="str">
        <f>IF(VLOOKUP($B115,'Satınalma Takvimi Veri Girişi'!$B$4:$AC$146,23,FALSE)&lt;&gt;"",VLOOKUP($B115,'Satınalma Takvimi Veri Girişi'!$B$4:$AC$146,23,FALSE),"")</f>
        <v/>
      </c>
      <c r="AM115" s="147" t="str">
        <f>IF(VLOOKUP($B115,'Satınalma Takvimi Veri Girişi'!$B$4:$AC$146,24,FALSE)&lt;&gt;"",VLOOKUP($B115,'Satınalma Takvimi Veri Girişi'!$B$4:$AC$146,24,FALSE),"")</f>
        <v/>
      </c>
      <c r="AN115" s="147" t="str">
        <f>IF(VLOOKUP($B115,'Satınalma Takvimi Veri Girişi'!$B$4:$AC$146,25,FALSE)&lt;&gt;"",VLOOKUP($B115,'Satınalma Takvimi Veri Girişi'!$B$4:$AC$146,25,FALSE),"")</f>
        <v/>
      </c>
      <c r="AO115" s="147" t="str">
        <f>IF(VLOOKUP($B115,'Satınalma Takvimi Veri Girişi'!$B$4:$AC$146,26,FALSE)&lt;&gt;"",VLOOKUP($B115,'Satınalma Takvimi Veri Girişi'!$B$4:$AC$146,26,FALSE),"")</f>
        <v/>
      </c>
      <c r="AP115" s="147" t="str">
        <f>IF(VLOOKUP($B115,'Satınalma Takvimi Veri Girişi'!$B$4:$AC$146,27,FALSE)&lt;&gt;"",VLOOKUP($B115,'Satınalma Takvimi Veri Girişi'!$B$4:$AC$146,27,FALSE),"")</f>
        <v/>
      </c>
      <c r="AQ115" s="148" t="str">
        <f>IF(VLOOKUP($B115,'Satınalma Takvimi Veri Girişi'!$B$4:$AC$146,28,FALSE)&lt;&gt;"",VLOOKUP($B115,'Satınalma Takvimi Veri Girişi'!$B$4:$AC$146,28,FALSE),"")</f>
        <v/>
      </c>
    </row>
    <row r="116" spans="2:43" ht="19.8" customHeight="1" x14ac:dyDescent="0.3">
      <c r="B116" s="64" t="str">
        <f>Şablon!E115</f>
        <v>IHL.3028.110/1</v>
      </c>
      <c r="C116" s="139" t="str">
        <f>VLOOKUP($B116,Şablon!$E$3:$Q$255,2,FALSE)</f>
        <v>25.08.00 PERDE İŞLERİ</v>
      </c>
      <c r="D116" s="161" t="str">
        <f>IF(VLOOKUP($B116,'Satınalma Takvimi Veri Girişi'!$B$4:$AC$146,3,FALSE)&lt;&gt;"",VLOOKUP($B116,'Satınalma Takvimi Veri Girişi'!$B$4:$AC$146,3,FALSE),"")</f>
        <v/>
      </c>
      <c r="E116" s="139" t="str">
        <f>VLOOKUP($B116,Şablon!$E$3:$Q$255,3,FALSE)</f>
        <v>C KATEGORİ</v>
      </c>
      <c r="F116" s="140" t="str">
        <f>VLOOKUP($B116,Şablon!$E$3:$Q$255,4,FALSE)</f>
        <v>İNŞ</v>
      </c>
      <c r="G116" s="141">
        <f>VLOOKUP($B116,Şablon!$E$3:$Q$255,5,FALSE)</f>
        <v>0</v>
      </c>
      <c r="H116" s="142" t="str">
        <f t="shared" si="14"/>
        <v/>
      </c>
      <c r="I116" s="143" t="str">
        <f t="shared" si="15"/>
        <v/>
      </c>
      <c r="J116" s="144" t="str">
        <f>IF(VLOOKUP($B116,'Satınalma Takvimi Veri Girişi'!$B$4:$AC$146,7,FALSE)&lt;&gt;"",VLOOKUP($B116,'Satınalma Takvimi Veri Girişi'!$B$4:$AC$146,7,FALSE),"")</f>
        <v/>
      </c>
      <c r="K116" s="141">
        <f>VLOOKUP($B116,Şablon!$E$3:$Q$255,6,FALSE)</f>
        <v>14</v>
      </c>
      <c r="L116" s="142" t="str">
        <f t="shared" si="16"/>
        <v/>
      </c>
      <c r="M116" s="143" t="str">
        <f t="shared" si="17"/>
        <v/>
      </c>
      <c r="N116" s="144" t="str">
        <f>IF(VLOOKUP($B116,'Satınalma Takvimi Veri Girişi'!$B$4:$AC$146,9,FALSE)&lt;&gt;"",VLOOKUP($B116,'Satınalma Takvimi Veri Girişi'!$B$4:$AC$146,9,FALSE),"")</f>
        <v/>
      </c>
      <c r="O116" s="141">
        <f>VLOOKUP($B116,Şablon!$E$3:$Q$255,7,FALSE)</f>
        <v>7</v>
      </c>
      <c r="P116" s="142" t="str">
        <f t="shared" si="18"/>
        <v/>
      </c>
      <c r="Q116" s="143" t="str">
        <f t="shared" si="19"/>
        <v/>
      </c>
      <c r="R116" s="144" t="str">
        <f>IF(VLOOKUP($B116,'Satınalma Takvimi Veri Girişi'!$B$4:$AC$146,11,FALSE)&lt;&gt;"",VLOOKUP($B116,'Satınalma Takvimi Veri Girişi'!$B$4:$AC$146,11,FALSE),"")</f>
        <v/>
      </c>
      <c r="S116" s="141">
        <f>VLOOKUP($B116,Şablon!$E$3:$Q$255,8,FALSE)</f>
        <v>14</v>
      </c>
      <c r="T116" s="142" t="str">
        <f t="shared" si="20"/>
        <v/>
      </c>
      <c r="U116" s="143" t="str">
        <f t="shared" si="21"/>
        <v/>
      </c>
      <c r="V116" s="144" t="str">
        <f>IF(VLOOKUP($B116,'Satınalma Takvimi Veri Girişi'!$B$4:$AC$146,13,FALSE)&lt;&gt;"",VLOOKUP($B116,'Satınalma Takvimi Veri Girişi'!$B$4:$AC$146,13,FALSE),"")</f>
        <v/>
      </c>
      <c r="W116" s="141">
        <f>VLOOKUP($B116,Şablon!$E$3:$Q$255,9,FALSE)</f>
        <v>7</v>
      </c>
      <c r="X116" s="142" t="str">
        <f t="shared" si="22"/>
        <v/>
      </c>
      <c r="Y116" s="143" t="str">
        <f t="shared" si="23"/>
        <v/>
      </c>
      <c r="Z116" s="144" t="str">
        <f>IF(VLOOKUP($B116,'Satınalma Takvimi Veri Girişi'!$B$4:$AC$146,15,FALSE)&lt;&gt;"",VLOOKUP($B116,'Satınalma Takvimi Veri Girişi'!$B$4:$AC$146,15,FALSE),"")</f>
        <v/>
      </c>
      <c r="AA116" s="141">
        <f>VLOOKUP($B116,Şablon!$E$3:$Q$255,10,FALSE)</f>
        <v>7</v>
      </c>
      <c r="AB116" s="142" t="str">
        <f t="shared" si="24"/>
        <v/>
      </c>
      <c r="AC116" s="143" t="str">
        <f t="shared" si="25"/>
        <v/>
      </c>
      <c r="AD116" s="144" t="str">
        <f>IF(VLOOKUP($B116,'Satınalma Takvimi Veri Girişi'!$B$4:$AC$146,17,FALSE)&lt;&gt;"",VLOOKUP($B116,'Satınalma Takvimi Veri Girişi'!$B$4:$AC$146,17,FALSE),"")</f>
        <v/>
      </c>
      <c r="AE116" s="141">
        <f>(VLOOKUP($B116,Şablon!$E$3:$Q$255,11,FALSE)+VLOOKUP($B116,Şablon!$E$3:$Q$255,12,FALSE))</f>
        <v>28</v>
      </c>
      <c r="AF116" s="142" t="str">
        <f t="shared" si="26"/>
        <v/>
      </c>
      <c r="AG116" s="143" t="str">
        <f t="shared" si="27"/>
        <v/>
      </c>
      <c r="AH116" s="144" t="str">
        <f>IF(VLOOKUP($B116,'Satınalma Takvimi Veri Girişi'!$B$4:$AC$146,19,FALSE)&lt;&gt;"",VLOOKUP($B116,'Satınalma Takvimi Veri Girişi'!$B$4:$AC$146,19,FALSE),"")</f>
        <v/>
      </c>
      <c r="AI116" s="145" t="str">
        <f>IF(VLOOKUP($B116,'Satınalma Takvimi Veri Girişi'!$B$4:$AC$146,20,FALSE)&lt;&gt;"",VLOOKUP($B116,'Satınalma Takvimi Veri Girişi'!$B$4:$AC$146,20,FALSE),"")</f>
        <v/>
      </c>
      <c r="AJ116" s="144" t="str">
        <f>IF(VLOOKUP($B116,'Satınalma Takvimi Veri Girişi'!$B$4:$AC$146,21,FALSE)&lt;&gt;"",VLOOKUP($B116,'Satınalma Takvimi Veri Girişi'!$B$4:$AC$146,21,FALSE),"")</f>
        <v/>
      </c>
      <c r="AK116" s="146" t="str">
        <f>IF(VLOOKUP($B116,'Satınalma Takvimi Veri Girişi'!$B$4:$AC$146,22,FALSE)&lt;&gt;"",VLOOKUP($B116,'Satınalma Takvimi Veri Girişi'!$B$4:$AC$146,22,FALSE),"")</f>
        <v/>
      </c>
      <c r="AL116" s="147" t="str">
        <f>IF(VLOOKUP($B116,'Satınalma Takvimi Veri Girişi'!$B$4:$AC$146,23,FALSE)&lt;&gt;"",VLOOKUP($B116,'Satınalma Takvimi Veri Girişi'!$B$4:$AC$146,23,FALSE),"")</f>
        <v/>
      </c>
      <c r="AM116" s="147" t="str">
        <f>IF(VLOOKUP($B116,'Satınalma Takvimi Veri Girişi'!$B$4:$AC$146,24,FALSE)&lt;&gt;"",VLOOKUP($B116,'Satınalma Takvimi Veri Girişi'!$B$4:$AC$146,24,FALSE),"")</f>
        <v/>
      </c>
      <c r="AN116" s="147" t="str">
        <f>IF(VLOOKUP($B116,'Satınalma Takvimi Veri Girişi'!$B$4:$AC$146,25,FALSE)&lt;&gt;"",VLOOKUP($B116,'Satınalma Takvimi Veri Girişi'!$B$4:$AC$146,25,FALSE),"")</f>
        <v/>
      </c>
      <c r="AO116" s="147" t="str">
        <f>IF(VLOOKUP($B116,'Satınalma Takvimi Veri Girişi'!$B$4:$AC$146,26,FALSE)&lt;&gt;"",VLOOKUP($B116,'Satınalma Takvimi Veri Girişi'!$B$4:$AC$146,26,FALSE),"")</f>
        <v/>
      </c>
      <c r="AP116" s="147" t="str">
        <f>IF(VLOOKUP($B116,'Satınalma Takvimi Veri Girişi'!$B$4:$AC$146,27,FALSE)&lt;&gt;"",VLOOKUP($B116,'Satınalma Takvimi Veri Girişi'!$B$4:$AC$146,27,FALSE),"")</f>
        <v/>
      </c>
      <c r="AQ116" s="148" t="str">
        <f>IF(VLOOKUP($B116,'Satınalma Takvimi Veri Girişi'!$B$4:$AC$146,28,FALSE)&lt;&gt;"",VLOOKUP($B116,'Satınalma Takvimi Veri Girişi'!$B$4:$AC$146,28,FALSE),"")</f>
        <v/>
      </c>
    </row>
    <row r="117" spans="2:43" ht="19.8" customHeight="1" x14ac:dyDescent="0.3">
      <c r="B117" s="64" t="str">
        <f>Şablon!E116</f>
        <v>IHL.3028.111/1</v>
      </c>
      <c r="C117" s="139" t="str">
        <f>VLOOKUP($B117,Şablon!$E$3:$Q$255,2,FALSE)</f>
        <v>17.08.00 OTOPARK SİLİM İŞLERİ</v>
      </c>
      <c r="D117" s="161" t="str">
        <f>IF(VLOOKUP($B117,'Satınalma Takvimi Veri Girişi'!$B$4:$AC$146,3,FALSE)&lt;&gt;"",VLOOKUP($B117,'Satınalma Takvimi Veri Girişi'!$B$4:$AC$146,3,FALSE),"")</f>
        <v/>
      </c>
      <c r="E117" s="139" t="str">
        <f>VLOOKUP($B117,Şablon!$E$3:$Q$255,3,FALSE)</f>
        <v>C KATEGORİ</v>
      </c>
      <c r="F117" s="140" t="str">
        <f>VLOOKUP($B117,Şablon!$E$3:$Q$255,4,FALSE)</f>
        <v>İNŞ</v>
      </c>
      <c r="G117" s="141">
        <f>VLOOKUP($B117,Şablon!$E$3:$Q$255,5,FALSE)</f>
        <v>0</v>
      </c>
      <c r="H117" s="142" t="str">
        <f t="shared" si="14"/>
        <v/>
      </c>
      <c r="I117" s="143" t="str">
        <f t="shared" si="15"/>
        <v/>
      </c>
      <c r="J117" s="144" t="str">
        <f>IF(VLOOKUP($B117,'Satınalma Takvimi Veri Girişi'!$B$4:$AC$146,7,FALSE)&lt;&gt;"",VLOOKUP($B117,'Satınalma Takvimi Veri Girişi'!$B$4:$AC$146,7,FALSE),"")</f>
        <v/>
      </c>
      <c r="K117" s="141">
        <f>VLOOKUP($B117,Şablon!$E$3:$Q$255,6,FALSE)</f>
        <v>14</v>
      </c>
      <c r="L117" s="142" t="str">
        <f t="shared" si="16"/>
        <v/>
      </c>
      <c r="M117" s="143" t="str">
        <f t="shared" si="17"/>
        <v/>
      </c>
      <c r="N117" s="144" t="str">
        <f>IF(VLOOKUP($B117,'Satınalma Takvimi Veri Girişi'!$B$4:$AC$146,9,FALSE)&lt;&gt;"",VLOOKUP($B117,'Satınalma Takvimi Veri Girişi'!$B$4:$AC$146,9,FALSE),"")</f>
        <v/>
      </c>
      <c r="O117" s="141">
        <f>VLOOKUP($B117,Şablon!$E$3:$Q$255,7,FALSE)</f>
        <v>7</v>
      </c>
      <c r="P117" s="142" t="str">
        <f t="shared" si="18"/>
        <v/>
      </c>
      <c r="Q117" s="143" t="str">
        <f t="shared" si="19"/>
        <v/>
      </c>
      <c r="R117" s="144" t="str">
        <f>IF(VLOOKUP($B117,'Satınalma Takvimi Veri Girişi'!$B$4:$AC$146,11,FALSE)&lt;&gt;"",VLOOKUP($B117,'Satınalma Takvimi Veri Girişi'!$B$4:$AC$146,11,FALSE),"")</f>
        <v/>
      </c>
      <c r="S117" s="141">
        <f>VLOOKUP($B117,Şablon!$E$3:$Q$255,8,FALSE)</f>
        <v>14</v>
      </c>
      <c r="T117" s="142" t="str">
        <f t="shared" si="20"/>
        <v/>
      </c>
      <c r="U117" s="143" t="str">
        <f t="shared" si="21"/>
        <v/>
      </c>
      <c r="V117" s="144" t="str">
        <f>IF(VLOOKUP($B117,'Satınalma Takvimi Veri Girişi'!$B$4:$AC$146,13,FALSE)&lt;&gt;"",VLOOKUP($B117,'Satınalma Takvimi Veri Girişi'!$B$4:$AC$146,13,FALSE),"")</f>
        <v/>
      </c>
      <c r="W117" s="141">
        <f>VLOOKUP($B117,Şablon!$E$3:$Q$255,9,FALSE)</f>
        <v>7</v>
      </c>
      <c r="X117" s="142" t="str">
        <f t="shared" si="22"/>
        <v/>
      </c>
      <c r="Y117" s="143" t="str">
        <f t="shared" si="23"/>
        <v/>
      </c>
      <c r="Z117" s="144" t="str">
        <f>IF(VLOOKUP($B117,'Satınalma Takvimi Veri Girişi'!$B$4:$AC$146,15,FALSE)&lt;&gt;"",VLOOKUP($B117,'Satınalma Takvimi Veri Girişi'!$B$4:$AC$146,15,FALSE),"")</f>
        <v/>
      </c>
      <c r="AA117" s="141">
        <f>VLOOKUP($B117,Şablon!$E$3:$Q$255,10,FALSE)</f>
        <v>7</v>
      </c>
      <c r="AB117" s="142" t="str">
        <f t="shared" si="24"/>
        <v/>
      </c>
      <c r="AC117" s="143" t="str">
        <f t="shared" si="25"/>
        <v/>
      </c>
      <c r="AD117" s="144" t="str">
        <f>IF(VLOOKUP($B117,'Satınalma Takvimi Veri Girişi'!$B$4:$AC$146,17,FALSE)&lt;&gt;"",VLOOKUP($B117,'Satınalma Takvimi Veri Girişi'!$B$4:$AC$146,17,FALSE),"")</f>
        <v/>
      </c>
      <c r="AE117" s="141">
        <f>(VLOOKUP($B117,Şablon!$E$3:$Q$255,11,FALSE)+VLOOKUP($B117,Şablon!$E$3:$Q$255,12,FALSE))</f>
        <v>7</v>
      </c>
      <c r="AF117" s="142" t="str">
        <f t="shared" si="26"/>
        <v/>
      </c>
      <c r="AG117" s="143" t="str">
        <f t="shared" si="27"/>
        <v/>
      </c>
      <c r="AH117" s="144" t="str">
        <f>IF(VLOOKUP($B117,'Satınalma Takvimi Veri Girişi'!$B$4:$AC$146,19,FALSE)&lt;&gt;"",VLOOKUP($B117,'Satınalma Takvimi Veri Girişi'!$B$4:$AC$146,19,FALSE),"")</f>
        <v/>
      </c>
      <c r="AI117" s="145" t="str">
        <f>IF(VLOOKUP($B117,'Satınalma Takvimi Veri Girişi'!$B$4:$AC$146,20,FALSE)&lt;&gt;"",VLOOKUP($B117,'Satınalma Takvimi Veri Girişi'!$B$4:$AC$146,20,FALSE),"")</f>
        <v/>
      </c>
      <c r="AJ117" s="144" t="str">
        <f>IF(VLOOKUP($B117,'Satınalma Takvimi Veri Girişi'!$B$4:$AC$146,21,FALSE)&lt;&gt;"",VLOOKUP($B117,'Satınalma Takvimi Veri Girişi'!$B$4:$AC$146,21,FALSE),"")</f>
        <v/>
      </c>
      <c r="AK117" s="146" t="str">
        <f>IF(VLOOKUP($B117,'Satınalma Takvimi Veri Girişi'!$B$4:$AC$146,22,FALSE)&lt;&gt;"",VLOOKUP($B117,'Satınalma Takvimi Veri Girişi'!$B$4:$AC$146,22,FALSE),"")</f>
        <v/>
      </c>
      <c r="AL117" s="147" t="str">
        <f>IF(VLOOKUP($B117,'Satınalma Takvimi Veri Girişi'!$B$4:$AC$146,23,FALSE)&lt;&gt;"",VLOOKUP($B117,'Satınalma Takvimi Veri Girişi'!$B$4:$AC$146,23,FALSE),"")</f>
        <v/>
      </c>
      <c r="AM117" s="147" t="str">
        <f>IF(VLOOKUP($B117,'Satınalma Takvimi Veri Girişi'!$B$4:$AC$146,24,FALSE)&lt;&gt;"",VLOOKUP($B117,'Satınalma Takvimi Veri Girişi'!$B$4:$AC$146,24,FALSE),"")</f>
        <v/>
      </c>
      <c r="AN117" s="147" t="str">
        <f>IF(VLOOKUP($B117,'Satınalma Takvimi Veri Girişi'!$B$4:$AC$146,25,FALSE)&lt;&gt;"",VLOOKUP($B117,'Satınalma Takvimi Veri Girişi'!$B$4:$AC$146,25,FALSE),"")</f>
        <v/>
      </c>
      <c r="AO117" s="147" t="str">
        <f>IF(VLOOKUP($B117,'Satınalma Takvimi Veri Girişi'!$B$4:$AC$146,26,FALSE)&lt;&gt;"",VLOOKUP($B117,'Satınalma Takvimi Veri Girişi'!$B$4:$AC$146,26,FALSE),"")</f>
        <v/>
      </c>
      <c r="AP117" s="147" t="str">
        <f>IF(VLOOKUP($B117,'Satınalma Takvimi Veri Girişi'!$B$4:$AC$146,27,FALSE)&lt;&gt;"",VLOOKUP($B117,'Satınalma Takvimi Veri Girişi'!$B$4:$AC$146,27,FALSE),"")</f>
        <v/>
      </c>
      <c r="AQ117" s="148" t="str">
        <f>IF(VLOOKUP($B117,'Satınalma Takvimi Veri Girişi'!$B$4:$AC$146,28,FALSE)&lt;&gt;"",VLOOKUP($B117,'Satınalma Takvimi Veri Girişi'!$B$4:$AC$146,28,FALSE),"")</f>
        <v/>
      </c>
    </row>
    <row r="118" spans="2:43" ht="19.8" customHeight="1" x14ac:dyDescent="0.3">
      <c r="B118" s="64" t="str">
        <f>Şablon!E117</f>
        <v>IHL.3028.112/1</v>
      </c>
      <c r="C118" s="139" t="str">
        <f>VLOOKUP($B118,Şablon!$E$3:$Q$255,2,FALSE)</f>
        <v>15.16.01 CEPHE TEMİZLİK İŞLERİ</v>
      </c>
      <c r="D118" s="161" t="str">
        <f>IF(VLOOKUP($B118,'Satınalma Takvimi Veri Girişi'!$B$4:$AC$146,3,FALSE)&lt;&gt;"",VLOOKUP($B118,'Satınalma Takvimi Veri Girişi'!$B$4:$AC$146,3,FALSE),"")</f>
        <v/>
      </c>
      <c r="E118" s="139" t="str">
        <f>VLOOKUP($B118,Şablon!$E$3:$Q$255,3,FALSE)</f>
        <v>B KATEGORİ</v>
      </c>
      <c r="F118" s="140" t="str">
        <f>VLOOKUP($B118,Şablon!$E$3:$Q$255,4,FALSE)</f>
        <v>İNŞ</v>
      </c>
      <c r="G118" s="141">
        <f>VLOOKUP($B118,Şablon!$E$3:$Q$255,5,FALSE)</f>
        <v>0</v>
      </c>
      <c r="H118" s="142" t="str">
        <f t="shared" si="14"/>
        <v/>
      </c>
      <c r="I118" s="143" t="str">
        <f t="shared" si="15"/>
        <v/>
      </c>
      <c r="J118" s="144" t="str">
        <f>IF(VLOOKUP($B118,'Satınalma Takvimi Veri Girişi'!$B$4:$AC$146,7,FALSE)&lt;&gt;"",VLOOKUP($B118,'Satınalma Takvimi Veri Girişi'!$B$4:$AC$146,7,FALSE),"")</f>
        <v/>
      </c>
      <c r="K118" s="141">
        <f>VLOOKUP($B118,Şablon!$E$3:$Q$255,6,FALSE)</f>
        <v>14</v>
      </c>
      <c r="L118" s="142" t="str">
        <f t="shared" si="16"/>
        <v/>
      </c>
      <c r="M118" s="143" t="str">
        <f t="shared" si="17"/>
        <v/>
      </c>
      <c r="N118" s="144" t="str">
        <f>IF(VLOOKUP($B118,'Satınalma Takvimi Veri Girişi'!$B$4:$AC$146,9,FALSE)&lt;&gt;"",VLOOKUP($B118,'Satınalma Takvimi Veri Girişi'!$B$4:$AC$146,9,FALSE),"")</f>
        <v/>
      </c>
      <c r="O118" s="141">
        <f>VLOOKUP($B118,Şablon!$E$3:$Q$255,7,FALSE)</f>
        <v>7</v>
      </c>
      <c r="P118" s="142" t="str">
        <f t="shared" si="18"/>
        <v/>
      </c>
      <c r="Q118" s="143" t="str">
        <f t="shared" si="19"/>
        <v/>
      </c>
      <c r="R118" s="144" t="str">
        <f>IF(VLOOKUP($B118,'Satınalma Takvimi Veri Girişi'!$B$4:$AC$146,11,FALSE)&lt;&gt;"",VLOOKUP($B118,'Satınalma Takvimi Veri Girişi'!$B$4:$AC$146,11,FALSE),"")</f>
        <v/>
      </c>
      <c r="S118" s="141">
        <f>VLOOKUP($B118,Şablon!$E$3:$Q$255,8,FALSE)</f>
        <v>14</v>
      </c>
      <c r="T118" s="142" t="str">
        <f t="shared" si="20"/>
        <v/>
      </c>
      <c r="U118" s="143" t="str">
        <f t="shared" si="21"/>
        <v/>
      </c>
      <c r="V118" s="144" t="str">
        <f>IF(VLOOKUP($B118,'Satınalma Takvimi Veri Girişi'!$B$4:$AC$146,13,FALSE)&lt;&gt;"",VLOOKUP($B118,'Satınalma Takvimi Veri Girişi'!$B$4:$AC$146,13,FALSE),"")</f>
        <v/>
      </c>
      <c r="W118" s="141">
        <f>VLOOKUP($B118,Şablon!$E$3:$Q$255,9,FALSE)</f>
        <v>7</v>
      </c>
      <c r="X118" s="142" t="str">
        <f t="shared" si="22"/>
        <v/>
      </c>
      <c r="Y118" s="143" t="str">
        <f t="shared" si="23"/>
        <v/>
      </c>
      <c r="Z118" s="144" t="str">
        <f>IF(VLOOKUP($B118,'Satınalma Takvimi Veri Girişi'!$B$4:$AC$146,15,FALSE)&lt;&gt;"",VLOOKUP($B118,'Satınalma Takvimi Veri Girişi'!$B$4:$AC$146,15,FALSE),"")</f>
        <v/>
      </c>
      <c r="AA118" s="141">
        <f>VLOOKUP($B118,Şablon!$E$3:$Q$255,10,FALSE)</f>
        <v>7</v>
      </c>
      <c r="AB118" s="142" t="str">
        <f t="shared" si="24"/>
        <v/>
      </c>
      <c r="AC118" s="143" t="str">
        <f t="shared" si="25"/>
        <v/>
      </c>
      <c r="AD118" s="144" t="str">
        <f>IF(VLOOKUP($B118,'Satınalma Takvimi Veri Girişi'!$B$4:$AC$146,17,FALSE)&lt;&gt;"",VLOOKUP($B118,'Satınalma Takvimi Veri Girişi'!$B$4:$AC$146,17,FALSE),"")</f>
        <v/>
      </c>
      <c r="AE118" s="141">
        <f>(VLOOKUP($B118,Şablon!$E$3:$Q$255,11,FALSE)+VLOOKUP($B118,Şablon!$E$3:$Q$255,12,FALSE))</f>
        <v>7</v>
      </c>
      <c r="AF118" s="142" t="str">
        <f t="shared" si="26"/>
        <v/>
      </c>
      <c r="AG118" s="143" t="str">
        <f t="shared" si="27"/>
        <v/>
      </c>
      <c r="AH118" s="144" t="str">
        <f>IF(VLOOKUP($B118,'Satınalma Takvimi Veri Girişi'!$B$4:$AC$146,19,FALSE)&lt;&gt;"",VLOOKUP($B118,'Satınalma Takvimi Veri Girişi'!$B$4:$AC$146,19,FALSE),"")</f>
        <v/>
      </c>
      <c r="AI118" s="145" t="str">
        <f>IF(VLOOKUP($B118,'Satınalma Takvimi Veri Girişi'!$B$4:$AC$146,20,FALSE)&lt;&gt;"",VLOOKUP($B118,'Satınalma Takvimi Veri Girişi'!$B$4:$AC$146,20,FALSE),"")</f>
        <v/>
      </c>
      <c r="AJ118" s="144" t="str">
        <f>IF(VLOOKUP($B118,'Satınalma Takvimi Veri Girişi'!$B$4:$AC$146,21,FALSE)&lt;&gt;"",VLOOKUP($B118,'Satınalma Takvimi Veri Girişi'!$B$4:$AC$146,21,FALSE),"")</f>
        <v/>
      </c>
      <c r="AK118" s="146" t="str">
        <f>IF(VLOOKUP($B118,'Satınalma Takvimi Veri Girişi'!$B$4:$AC$146,22,FALSE)&lt;&gt;"",VLOOKUP($B118,'Satınalma Takvimi Veri Girişi'!$B$4:$AC$146,22,FALSE),"")</f>
        <v/>
      </c>
      <c r="AL118" s="147" t="str">
        <f>IF(VLOOKUP($B118,'Satınalma Takvimi Veri Girişi'!$B$4:$AC$146,23,FALSE)&lt;&gt;"",VLOOKUP($B118,'Satınalma Takvimi Veri Girişi'!$B$4:$AC$146,23,FALSE),"")</f>
        <v/>
      </c>
      <c r="AM118" s="147" t="str">
        <f>IF(VLOOKUP($B118,'Satınalma Takvimi Veri Girişi'!$B$4:$AC$146,24,FALSE)&lt;&gt;"",VLOOKUP($B118,'Satınalma Takvimi Veri Girişi'!$B$4:$AC$146,24,FALSE),"")</f>
        <v/>
      </c>
      <c r="AN118" s="147" t="str">
        <f>IF(VLOOKUP($B118,'Satınalma Takvimi Veri Girişi'!$B$4:$AC$146,25,FALSE)&lt;&gt;"",VLOOKUP($B118,'Satınalma Takvimi Veri Girişi'!$B$4:$AC$146,25,FALSE),"")</f>
        <v/>
      </c>
      <c r="AO118" s="147" t="str">
        <f>IF(VLOOKUP($B118,'Satınalma Takvimi Veri Girişi'!$B$4:$AC$146,26,FALSE)&lt;&gt;"",VLOOKUP($B118,'Satınalma Takvimi Veri Girişi'!$B$4:$AC$146,26,FALSE),"")</f>
        <v/>
      </c>
      <c r="AP118" s="147" t="str">
        <f>IF(VLOOKUP($B118,'Satınalma Takvimi Veri Girişi'!$B$4:$AC$146,27,FALSE)&lt;&gt;"",VLOOKUP($B118,'Satınalma Takvimi Veri Girişi'!$B$4:$AC$146,27,FALSE),"")</f>
        <v/>
      </c>
      <c r="AQ118" s="148" t="str">
        <f>IF(VLOOKUP($B118,'Satınalma Takvimi Veri Girişi'!$B$4:$AC$146,28,FALSE)&lt;&gt;"",VLOOKUP($B118,'Satınalma Takvimi Veri Girişi'!$B$4:$AC$146,28,FALSE),"")</f>
        <v/>
      </c>
    </row>
    <row r="119" spans="2:43" ht="19.8" customHeight="1" x14ac:dyDescent="0.3">
      <c r="B119" s="64" t="str">
        <f>Şablon!E118</f>
        <v>IHL.3028.113/1</v>
      </c>
      <c r="C119" s="139" t="str">
        <f>VLOOKUP($B119,Şablon!$E$3:$Q$255,2,FALSE)</f>
        <v>27.01.00 ASFALT İŞLERİ</v>
      </c>
      <c r="D119" s="161" t="str">
        <f>IF(VLOOKUP($B119,'Satınalma Takvimi Veri Girişi'!$B$4:$AC$146,3,FALSE)&lt;&gt;"",VLOOKUP($B119,'Satınalma Takvimi Veri Girişi'!$B$4:$AC$146,3,FALSE),"")</f>
        <v/>
      </c>
      <c r="E119" s="139" t="str">
        <f>VLOOKUP($B119,Şablon!$E$3:$Q$255,3,FALSE)</f>
        <v>B KATEGORİ</v>
      </c>
      <c r="F119" s="140" t="str">
        <f>VLOOKUP($B119,Şablon!$E$3:$Q$255,4,FALSE)</f>
        <v>İNŞ</v>
      </c>
      <c r="G119" s="141">
        <f>VLOOKUP($B119,Şablon!$E$3:$Q$255,5,FALSE)</f>
        <v>0</v>
      </c>
      <c r="H119" s="142" t="str">
        <f t="shared" si="14"/>
        <v/>
      </c>
      <c r="I119" s="143" t="str">
        <f t="shared" si="15"/>
        <v/>
      </c>
      <c r="J119" s="144" t="str">
        <f>IF(VLOOKUP($B119,'Satınalma Takvimi Veri Girişi'!$B$4:$AC$146,7,FALSE)&lt;&gt;"",VLOOKUP($B119,'Satınalma Takvimi Veri Girişi'!$B$4:$AC$146,7,FALSE),"")</f>
        <v/>
      </c>
      <c r="K119" s="141">
        <f>VLOOKUP($B119,Şablon!$E$3:$Q$255,6,FALSE)</f>
        <v>14</v>
      </c>
      <c r="L119" s="142" t="str">
        <f t="shared" si="16"/>
        <v/>
      </c>
      <c r="M119" s="143" t="str">
        <f t="shared" si="17"/>
        <v/>
      </c>
      <c r="N119" s="144" t="str">
        <f>IF(VLOOKUP($B119,'Satınalma Takvimi Veri Girişi'!$B$4:$AC$146,9,FALSE)&lt;&gt;"",VLOOKUP($B119,'Satınalma Takvimi Veri Girişi'!$B$4:$AC$146,9,FALSE),"")</f>
        <v/>
      </c>
      <c r="O119" s="141">
        <f>VLOOKUP($B119,Şablon!$E$3:$Q$255,7,FALSE)</f>
        <v>7</v>
      </c>
      <c r="P119" s="142" t="str">
        <f t="shared" si="18"/>
        <v/>
      </c>
      <c r="Q119" s="143" t="str">
        <f t="shared" si="19"/>
        <v/>
      </c>
      <c r="R119" s="144" t="str">
        <f>IF(VLOOKUP($B119,'Satınalma Takvimi Veri Girişi'!$B$4:$AC$146,11,FALSE)&lt;&gt;"",VLOOKUP($B119,'Satınalma Takvimi Veri Girişi'!$B$4:$AC$146,11,FALSE),"")</f>
        <v/>
      </c>
      <c r="S119" s="141">
        <f>VLOOKUP($B119,Şablon!$E$3:$Q$255,8,FALSE)</f>
        <v>14</v>
      </c>
      <c r="T119" s="142" t="str">
        <f t="shared" si="20"/>
        <v/>
      </c>
      <c r="U119" s="143" t="str">
        <f t="shared" si="21"/>
        <v/>
      </c>
      <c r="V119" s="144" t="str">
        <f>IF(VLOOKUP($B119,'Satınalma Takvimi Veri Girişi'!$B$4:$AC$146,13,FALSE)&lt;&gt;"",VLOOKUP($B119,'Satınalma Takvimi Veri Girişi'!$B$4:$AC$146,13,FALSE),"")</f>
        <v/>
      </c>
      <c r="W119" s="141">
        <f>VLOOKUP($B119,Şablon!$E$3:$Q$255,9,FALSE)</f>
        <v>7</v>
      </c>
      <c r="X119" s="142" t="str">
        <f t="shared" si="22"/>
        <v/>
      </c>
      <c r="Y119" s="143" t="str">
        <f t="shared" si="23"/>
        <v/>
      </c>
      <c r="Z119" s="144" t="str">
        <f>IF(VLOOKUP($B119,'Satınalma Takvimi Veri Girişi'!$B$4:$AC$146,15,FALSE)&lt;&gt;"",VLOOKUP($B119,'Satınalma Takvimi Veri Girişi'!$B$4:$AC$146,15,FALSE),"")</f>
        <v/>
      </c>
      <c r="AA119" s="141">
        <f>VLOOKUP($B119,Şablon!$E$3:$Q$255,10,FALSE)</f>
        <v>7</v>
      </c>
      <c r="AB119" s="142" t="str">
        <f t="shared" si="24"/>
        <v/>
      </c>
      <c r="AC119" s="143" t="str">
        <f t="shared" si="25"/>
        <v/>
      </c>
      <c r="AD119" s="144" t="str">
        <f>IF(VLOOKUP($B119,'Satınalma Takvimi Veri Girişi'!$B$4:$AC$146,17,FALSE)&lt;&gt;"",VLOOKUP($B119,'Satınalma Takvimi Veri Girişi'!$B$4:$AC$146,17,FALSE),"")</f>
        <v/>
      </c>
      <c r="AE119" s="141">
        <f>(VLOOKUP($B119,Şablon!$E$3:$Q$255,11,FALSE)+VLOOKUP($B119,Şablon!$E$3:$Q$255,12,FALSE))</f>
        <v>14</v>
      </c>
      <c r="AF119" s="142" t="str">
        <f t="shared" si="26"/>
        <v/>
      </c>
      <c r="AG119" s="143" t="str">
        <f t="shared" si="27"/>
        <v/>
      </c>
      <c r="AH119" s="144" t="str">
        <f>IF(VLOOKUP($B119,'Satınalma Takvimi Veri Girişi'!$B$4:$AC$146,19,FALSE)&lt;&gt;"",VLOOKUP($B119,'Satınalma Takvimi Veri Girişi'!$B$4:$AC$146,19,FALSE),"")</f>
        <v/>
      </c>
      <c r="AI119" s="145" t="str">
        <f>IF(VLOOKUP($B119,'Satınalma Takvimi Veri Girişi'!$B$4:$AC$146,20,FALSE)&lt;&gt;"",VLOOKUP($B119,'Satınalma Takvimi Veri Girişi'!$B$4:$AC$146,20,FALSE),"")</f>
        <v/>
      </c>
      <c r="AJ119" s="144" t="str">
        <f>IF(VLOOKUP($B119,'Satınalma Takvimi Veri Girişi'!$B$4:$AC$146,21,FALSE)&lt;&gt;"",VLOOKUP($B119,'Satınalma Takvimi Veri Girişi'!$B$4:$AC$146,21,FALSE),"")</f>
        <v/>
      </c>
      <c r="AK119" s="146" t="str">
        <f>IF(VLOOKUP($B119,'Satınalma Takvimi Veri Girişi'!$B$4:$AC$146,22,FALSE)&lt;&gt;"",VLOOKUP($B119,'Satınalma Takvimi Veri Girişi'!$B$4:$AC$146,22,FALSE),"")</f>
        <v/>
      </c>
      <c r="AL119" s="147" t="str">
        <f>IF(VLOOKUP($B119,'Satınalma Takvimi Veri Girişi'!$B$4:$AC$146,23,FALSE)&lt;&gt;"",VLOOKUP($B119,'Satınalma Takvimi Veri Girişi'!$B$4:$AC$146,23,FALSE),"")</f>
        <v/>
      </c>
      <c r="AM119" s="147" t="str">
        <f>IF(VLOOKUP($B119,'Satınalma Takvimi Veri Girişi'!$B$4:$AC$146,24,FALSE)&lt;&gt;"",VLOOKUP($B119,'Satınalma Takvimi Veri Girişi'!$B$4:$AC$146,24,FALSE),"")</f>
        <v/>
      </c>
      <c r="AN119" s="147" t="str">
        <f>IF(VLOOKUP($B119,'Satınalma Takvimi Veri Girişi'!$B$4:$AC$146,25,FALSE)&lt;&gt;"",VLOOKUP($B119,'Satınalma Takvimi Veri Girişi'!$B$4:$AC$146,25,FALSE),"")</f>
        <v/>
      </c>
      <c r="AO119" s="147" t="str">
        <f>IF(VLOOKUP($B119,'Satınalma Takvimi Veri Girişi'!$B$4:$AC$146,26,FALSE)&lt;&gt;"",VLOOKUP($B119,'Satınalma Takvimi Veri Girişi'!$B$4:$AC$146,26,FALSE),"")</f>
        <v/>
      </c>
      <c r="AP119" s="147" t="str">
        <f>IF(VLOOKUP($B119,'Satınalma Takvimi Veri Girişi'!$B$4:$AC$146,27,FALSE)&lt;&gt;"",VLOOKUP($B119,'Satınalma Takvimi Veri Girişi'!$B$4:$AC$146,27,FALSE),"")</f>
        <v/>
      </c>
      <c r="AQ119" s="148" t="str">
        <f>IF(VLOOKUP($B119,'Satınalma Takvimi Veri Girişi'!$B$4:$AC$146,28,FALSE)&lt;&gt;"",VLOOKUP($B119,'Satınalma Takvimi Veri Girişi'!$B$4:$AC$146,28,FALSE),"")</f>
        <v/>
      </c>
    </row>
    <row r="120" spans="2:43" ht="19.8" customHeight="1" x14ac:dyDescent="0.3">
      <c r="B120" s="64" t="str">
        <f>Şablon!E119</f>
        <v>IHL.3028.114/1</v>
      </c>
      <c r="C120" s="139" t="str">
        <f>VLOOKUP($B120,Şablon!$E$3:$Q$255,2,FALSE)</f>
        <v>31.00.00 MEKANİK TESİSAT İŞLERİ</v>
      </c>
      <c r="D120" s="161" t="str">
        <f>IF(VLOOKUP($B120,'Satınalma Takvimi Veri Girişi'!$B$4:$AC$146,3,FALSE)&lt;&gt;"",VLOOKUP($B120,'Satınalma Takvimi Veri Girişi'!$B$4:$AC$146,3,FALSE),"")</f>
        <v/>
      </c>
      <c r="E120" s="139" t="str">
        <f>VLOOKUP($B120,Şablon!$E$3:$Q$255,3,FALSE)</f>
        <v>A KATEGORİ</v>
      </c>
      <c r="F120" s="140" t="str">
        <f>VLOOKUP($B120,Şablon!$E$3:$Q$255,4,FALSE)</f>
        <v>MEK</v>
      </c>
      <c r="G120" s="141">
        <f>VLOOKUP($B120,Şablon!$E$3:$Q$255,5,FALSE)</f>
        <v>0</v>
      </c>
      <c r="H120" s="142" t="str">
        <f t="shared" si="14"/>
        <v/>
      </c>
      <c r="I120" s="143" t="str">
        <f t="shared" si="15"/>
        <v/>
      </c>
      <c r="J120" s="144" t="str">
        <f>IF(VLOOKUP($B120,'Satınalma Takvimi Veri Girişi'!$B$4:$AC$146,7,FALSE)&lt;&gt;"",VLOOKUP($B120,'Satınalma Takvimi Veri Girişi'!$B$4:$AC$146,7,FALSE),"")</f>
        <v/>
      </c>
      <c r="K120" s="141">
        <f>VLOOKUP($B120,Şablon!$E$3:$Q$255,6,FALSE)</f>
        <v>21</v>
      </c>
      <c r="L120" s="142" t="str">
        <f t="shared" si="16"/>
        <v/>
      </c>
      <c r="M120" s="143" t="str">
        <f t="shared" si="17"/>
        <v/>
      </c>
      <c r="N120" s="144" t="str">
        <f>IF(VLOOKUP($B120,'Satınalma Takvimi Veri Girişi'!$B$4:$AC$146,9,FALSE)&lt;&gt;"",VLOOKUP($B120,'Satınalma Takvimi Veri Girişi'!$B$4:$AC$146,9,FALSE),"")</f>
        <v/>
      </c>
      <c r="O120" s="141">
        <f>VLOOKUP($B120,Şablon!$E$3:$Q$255,7,FALSE)</f>
        <v>28</v>
      </c>
      <c r="P120" s="142" t="str">
        <f t="shared" si="18"/>
        <v/>
      </c>
      <c r="Q120" s="143" t="str">
        <f t="shared" si="19"/>
        <v/>
      </c>
      <c r="R120" s="144" t="str">
        <f>IF(VLOOKUP($B120,'Satınalma Takvimi Veri Girişi'!$B$4:$AC$146,11,FALSE)&lt;&gt;"",VLOOKUP($B120,'Satınalma Takvimi Veri Girişi'!$B$4:$AC$146,11,FALSE),"")</f>
        <v/>
      </c>
      <c r="S120" s="141">
        <f>VLOOKUP($B120,Şablon!$E$3:$Q$255,8,FALSE)</f>
        <v>21</v>
      </c>
      <c r="T120" s="142" t="str">
        <f t="shared" si="20"/>
        <v/>
      </c>
      <c r="U120" s="143" t="str">
        <f t="shared" si="21"/>
        <v/>
      </c>
      <c r="V120" s="144" t="str">
        <f>IF(VLOOKUP($B120,'Satınalma Takvimi Veri Girişi'!$B$4:$AC$146,13,FALSE)&lt;&gt;"",VLOOKUP($B120,'Satınalma Takvimi Veri Girişi'!$B$4:$AC$146,13,FALSE),"")</f>
        <v/>
      </c>
      <c r="W120" s="141">
        <f>VLOOKUP($B120,Şablon!$E$3:$Q$255,9,FALSE)</f>
        <v>14</v>
      </c>
      <c r="X120" s="142" t="str">
        <f t="shared" si="22"/>
        <v/>
      </c>
      <c r="Y120" s="143" t="str">
        <f t="shared" si="23"/>
        <v/>
      </c>
      <c r="Z120" s="144" t="str">
        <f>IF(VLOOKUP($B120,'Satınalma Takvimi Veri Girişi'!$B$4:$AC$146,15,FALSE)&lt;&gt;"",VLOOKUP($B120,'Satınalma Takvimi Veri Girişi'!$B$4:$AC$146,15,FALSE),"")</f>
        <v/>
      </c>
      <c r="AA120" s="141">
        <f>VLOOKUP($B120,Şablon!$E$3:$Q$255,10,FALSE)</f>
        <v>14</v>
      </c>
      <c r="AB120" s="142" t="str">
        <f t="shared" si="24"/>
        <v/>
      </c>
      <c r="AC120" s="143" t="str">
        <f t="shared" si="25"/>
        <v/>
      </c>
      <c r="AD120" s="144" t="str">
        <f>IF(VLOOKUP($B120,'Satınalma Takvimi Veri Girişi'!$B$4:$AC$146,17,FALSE)&lt;&gt;"",VLOOKUP($B120,'Satınalma Takvimi Veri Girişi'!$B$4:$AC$146,17,FALSE),"")</f>
        <v/>
      </c>
      <c r="AE120" s="141">
        <f>(VLOOKUP($B120,Şablon!$E$3:$Q$255,11,FALSE)+VLOOKUP($B120,Şablon!$E$3:$Q$255,12,FALSE))</f>
        <v>14</v>
      </c>
      <c r="AF120" s="142" t="str">
        <f t="shared" si="26"/>
        <v/>
      </c>
      <c r="AG120" s="143" t="str">
        <f t="shared" si="27"/>
        <v/>
      </c>
      <c r="AH120" s="144" t="str">
        <f>IF(VLOOKUP($B120,'Satınalma Takvimi Veri Girişi'!$B$4:$AC$146,19,FALSE)&lt;&gt;"",VLOOKUP($B120,'Satınalma Takvimi Veri Girişi'!$B$4:$AC$146,19,FALSE),"")</f>
        <v/>
      </c>
      <c r="AI120" s="145" t="str">
        <f>IF(VLOOKUP($B120,'Satınalma Takvimi Veri Girişi'!$B$4:$AC$146,20,FALSE)&lt;&gt;"",VLOOKUP($B120,'Satınalma Takvimi Veri Girişi'!$B$4:$AC$146,20,FALSE),"")</f>
        <v/>
      </c>
      <c r="AJ120" s="144" t="str">
        <f>IF(VLOOKUP($B120,'Satınalma Takvimi Veri Girişi'!$B$4:$AC$146,21,FALSE)&lt;&gt;"",VLOOKUP($B120,'Satınalma Takvimi Veri Girişi'!$B$4:$AC$146,21,FALSE),"")</f>
        <v/>
      </c>
      <c r="AK120" s="146" t="str">
        <f>IF(VLOOKUP($B120,'Satınalma Takvimi Veri Girişi'!$B$4:$AC$146,22,FALSE)&lt;&gt;"",VLOOKUP($B120,'Satınalma Takvimi Veri Girişi'!$B$4:$AC$146,22,FALSE),"")</f>
        <v/>
      </c>
      <c r="AL120" s="147" t="str">
        <f>IF(VLOOKUP($B120,'Satınalma Takvimi Veri Girişi'!$B$4:$AC$146,23,FALSE)&lt;&gt;"",VLOOKUP($B120,'Satınalma Takvimi Veri Girişi'!$B$4:$AC$146,23,FALSE),"")</f>
        <v/>
      </c>
      <c r="AM120" s="147" t="str">
        <f>IF(VLOOKUP($B120,'Satınalma Takvimi Veri Girişi'!$B$4:$AC$146,24,FALSE)&lt;&gt;"",VLOOKUP($B120,'Satınalma Takvimi Veri Girişi'!$B$4:$AC$146,24,FALSE),"")</f>
        <v/>
      </c>
      <c r="AN120" s="147" t="str">
        <f>IF(VLOOKUP($B120,'Satınalma Takvimi Veri Girişi'!$B$4:$AC$146,25,FALSE)&lt;&gt;"",VLOOKUP($B120,'Satınalma Takvimi Veri Girişi'!$B$4:$AC$146,25,FALSE),"")</f>
        <v/>
      </c>
      <c r="AO120" s="147" t="str">
        <f>IF(VLOOKUP($B120,'Satınalma Takvimi Veri Girişi'!$B$4:$AC$146,26,FALSE)&lt;&gt;"",VLOOKUP($B120,'Satınalma Takvimi Veri Girişi'!$B$4:$AC$146,26,FALSE),"")</f>
        <v/>
      </c>
      <c r="AP120" s="147" t="str">
        <f>IF(VLOOKUP($B120,'Satınalma Takvimi Veri Girişi'!$B$4:$AC$146,27,FALSE)&lt;&gt;"",VLOOKUP($B120,'Satınalma Takvimi Veri Girişi'!$B$4:$AC$146,27,FALSE),"")</f>
        <v/>
      </c>
      <c r="AQ120" s="148" t="str">
        <f>IF(VLOOKUP($B120,'Satınalma Takvimi Veri Girişi'!$B$4:$AC$146,28,FALSE)&lt;&gt;"",VLOOKUP($B120,'Satınalma Takvimi Veri Girişi'!$B$4:$AC$146,28,FALSE),"")</f>
        <v/>
      </c>
    </row>
    <row r="121" spans="2:43" ht="19.8" customHeight="1" x14ac:dyDescent="0.3">
      <c r="B121" s="64" t="str">
        <f>Şablon!E120</f>
        <v>IHL.3028.115/1</v>
      </c>
      <c r="C121" s="139" t="str">
        <f>VLOOKUP($B121,Şablon!$E$3:$Q$255,2,FALSE)</f>
        <v>31.01.00 TEMEL PVC İŞLERİ</v>
      </c>
      <c r="D121" s="161" t="str">
        <f>IF(VLOOKUP($B121,'Satınalma Takvimi Veri Girişi'!$B$4:$AC$146,3,FALSE)&lt;&gt;"",VLOOKUP($B121,'Satınalma Takvimi Veri Girişi'!$B$4:$AC$146,3,FALSE),"")</f>
        <v/>
      </c>
      <c r="E121" s="139" t="str">
        <f>VLOOKUP($B121,Şablon!$E$3:$Q$255,3,FALSE)</f>
        <v>B KATEGORİ</v>
      </c>
      <c r="F121" s="140" t="str">
        <f>VLOOKUP($B121,Şablon!$E$3:$Q$255,4,FALSE)</f>
        <v>MEK</v>
      </c>
      <c r="G121" s="141">
        <f>VLOOKUP($B121,Şablon!$E$3:$Q$255,5,FALSE)</f>
        <v>0</v>
      </c>
      <c r="H121" s="142" t="str">
        <f t="shared" si="14"/>
        <v/>
      </c>
      <c r="I121" s="143" t="str">
        <f t="shared" si="15"/>
        <v/>
      </c>
      <c r="J121" s="144" t="str">
        <f>IF(VLOOKUP($B121,'Satınalma Takvimi Veri Girişi'!$B$4:$AC$146,7,FALSE)&lt;&gt;"",VLOOKUP($B121,'Satınalma Takvimi Veri Girişi'!$B$4:$AC$146,7,FALSE),"")</f>
        <v/>
      </c>
      <c r="K121" s="141">
        <f>VLOOKUP($B121,Şablon!$E$3:$Q$255,6,FALSE)</f>
        <v>14</v>
      </c>
      <c r="L121" s="142" t="str">
        <f t="shared" si="16"/>
        <v/>
      </c>
      <c r="M121" s="143" t="str">
        <f t="shared" si="17"/>
        <v/>
      </c>
      <c r="N121" s="144" t="str">
        <f>IF(VLOOKUP($B121,'Satınalma Takvimi Veri Girişi'!$B$4:$AC$146,9,FALSE)&lt;&gt;"",VLOOKUP($B121,'Satınalma Takvimi Veri Girişi'!$B$4:$AC$146,9,FALSE),"")</f>
        <v/>
      </c>
      <c r="O121" s="141">
        <f>VLOOKUP($B121,Şablon!$E$3:$Q$255,7,FALSE)</f>
        <v>7</v>
      </c>
      <c r="P121" s="142" t="str">
        <f t="shared" si="18"/>
        <v/>
      </c>
      <c r="Q121" s="143" t="str">
        <f t="shared" si="19"/>
        <v/>
      </c>
      <c r="R121" s="144" t="str">
        <f>IF(VLOOKUP($B121,'Satınalma Takvimi Veri Girişi'!$B$4:$AC$146,11,FALSE)&lt;&gt;"",VLOOKUP($B121,'Satınalma Takvimi Veri Girişi'!$B$4:$AC$146,11,FALSE),"")</f>
        <v/>
      </c>
      <c r="S121" s="141">
        <f>VLOOKUP($B121,Şablon!$E$3:$Q$255,8,FALSE)</f>
        <v>14</v>
      </c>
      <c r="T121" s="142" t="str">
        <f t="shared" si="20"/>
        <v/>
      </c>
      <c r="U121" s="143" t="str">
        <f t="shared" si="21"/>
        <v/>
      </c>
      <c r="V121" s="144" t="str">
        <f>IF(VLOOKUP($B121,'Satınalma Takvimi Veri Girişi'!$B$4:$AC$146,13,FALSE)&lt;&gt;"",VLOOKUP($B121,'Satınalma Takvimi Veri Girişi'!$B$4:$AC$146,13,FALSE),"")</f>
        <v/>
      </c>
      <c r="W121" s="141">
        <f>VLOOKUP($B121,Şablon!$E$3:$Q$255,9,FALSE)</f>
        <v>7</v>
      </c>
      <c r="X121" s="142" t="str">
        <f t="shared" si="22"/>
        <v/>
      </c>
      <c r="Y121" s="143" t="str">
        <f t="shared" si="23"/>
        <v/>
      </c>
      <c r="Z121" s="144" t="str">
        <f>IF(VLOOKUP($B121,'Satınalma Takvimi Veri Girişi'!$B$4:$AC$146,15,FALSE)&lt;&gt;"",VLOOKUP($B121,'Satınalma Takvimi Veri Girişi'!$B$4:$AC$146,15,FALSE),"")</f>
        <v/>
      </c>
      <c r="AA121" s="141">
        <f>VLOOKUP($B121,Şablon!$E$3:$Q$255,10,FALSE)</f>
        <v>7</v>
      </c>
      <c r="AB121" s="142" t="str">
        <f t="shared" si="24"/>
        <v/>
      </c>
      <c r="AC121" s="143" t="str">
        <f t="shared" si="25"/>
        <v/>
      </c>
      <c r="AD121" s="144" t="str">
        <f>IF(VLOOKUP($B121,'Satınalma Takvimi Veri Girişi'!$B$4:$AC$146,17,FALSE)&lt;&gt;"",VLOOKUP($B121,'Satınalma Takvimi Veri Girişi'!$B$4:$AC$146,17,FALSE),"")</f>
        <v/>
      </c>
      <c r="AE121" s="141">
        <f>(VLOOKUP($B121,Şablon!$E$3:$Q$255,11,FALSE)+VLOOKUP($B121,Şablon!$E$3:$Q$255,12,FALSE))</f>
        <v>14</v>
      </c>
      <c r="AF121" s="142" t="str">
        <f t="shared" si="26"/>
        <v/>
      </c>
      <c r="AG121" s="143" t="str">
        <f t="shared" si="27"/>
        <v/>
      </c>
      <c r="AH121" s="144" t="str">
        <f>IF(VLOOKUP($B121,'Satınalma Takvimi Veri Girişi'!$B$4:$AC$146,19,FALSE)&lt;&gt;"",VLOOKUP($B121,'Satınalma Takvimi Veri Girişi'!$B$4:$AC$146,19,FALSE),"")</f>
        <v/>
      </c>
      <c r="AI121" s="145" t="str">
        <f>IF(VLOOKUP($B121,'Satınalma Takvimi Veri Girişi'!$B$4:$AC$146,20,FALSE)&lt;&gt;"",VLOOKUP($B121,'Satınalma Takvimi Veri Girişi'!$B$4:$AC$146,20,FALSE),"")</f>
        <v/>
      </c>
      <c r="AJ121" s="144" t="str">
        <f>IF(VLOOKUP($B121,'Satınalma Takvimi Veri Girişi'!$B$4:$AC$146,21,FALSE)&lt;&gt;"",VLOOKUP($B121,'Satınalma Takvimi Veri Girişi'!$B$4:$AC$146,21,FALSE),"")</f>
        <v/>
      </c>
      <c r="AK121" s="146" t="str">
        <f>IF(VLOOKUP($B121,'Satınalma Takvimi Veri Girişi'!$B$4:$AC$146,22,FALSE)&lt;&gt;"",VLOOKUP($B121,'Satınalma Takvimi Veri Girişi'!$B$4:$AC$146,22,FALSE),"")</f>
        <v/>
      </c>
      <c r="AL121" s="147" t="str">
        <f>IF(VLOOKUP($B121,'Satınalma Takvimi Veri Girişi'!$B$4:$AC$146,23,FALSE)&lt;&gt;"",VLOOKUP($B121,'Satınalma Takvimi Veri Girişi'!$B$4:$AC$146,23,FALSE),"")</f>
        <v/>
      </c>
      <c r="AM121" s="147" t="str">
        <f>IF(VLOOKUP($B121,'Satınalma Takvimi Veri Girişi'!$B$4:$AC$146,24,FALSE)&lt;&gt;"",VLOOKUP($B121,'Satınalma Takvimi Veri Girişi'!$B$4:$AC$146,24,FALSE),"")</f>
        <v/>
      </c>
      <c r="AN121" s="147" t="str">
        <f>IF(VLOOKUP($B121,'Satınalma Takvimi Veri Girişi'!$B$4:$AC$146,25,FALSE)&lt;&gt;"",VLOOKUP($B121,'Satınalma Takvimi Veri Girişi'!$B$4:$AC$146,25,FALSE),"")</f>
        <v/>
      </c>
      <c r="AO121" s="147" t="str">
        <f>IF(VLOOKUP($B121,'Satınalma Takvimi Veri Girişi'!$B$4:$AC$146,26,FALSE)&lt;&gt;"",VLOOKUP($B121,'Satınalma Takvimi Veri Girişi'!$B$4:$AC$146,26,FALSE),"")</f>
        <v/>
      </c>
      <c r="AP121" s="147" t="str">
        <f>IF(VLOOKUP($B121,'Satınalma Takvimi Veri Girişi'!$B$4:$AC$146,27,FALSE)&lt;&gt;"",VLOOKUP($B121,'Satınalma Takvimi Veri Girişi'!$B$4:$AC$146,27,FALSE),"")</f>
        <v/>
      </c>
      <c r="AQ121" s="148" t="str">
        <f>IF(VLOOKUP($B121,'Satınalma Takvimi Veri Girişi'!$B$4:$AC$146,28,FALSE)&lt;&gt;"",VLOOKUP($B121,'Satınalma Takvimi Veri Girişi'!$B$4:$AC$146,28,FALSE),"")</f>
        <v/>
      </c>
    </row>
    <row r="122" spans="2:43" ht="19.8" customHeight="1" x14ac:dyDescent="0.3">
      <c r="B122" s="64" t="str">
        <f>Şablon!E121</f>
        <v>IHL.3028.116/1</v>
      </c>
      <c r="C122" s="139" t="str">
        <f>VLOOKUP($B122,Şablon!$E$3:$Q$255,2,FALSE)</f>
        <v>31.01.01 (M) HİDROFOR</v>
      </c>
      <c r="D122" s="161" t="str">
        <f>IF(VLOOKUP($B122,'Satınalma Takvimi Veri Girişi'!$B$4:$AC$146,3,FALSE)&lt;&gt;"",VLOOKUP($B122,'Satınalma Takvimi Veri Girişi'!$B$4:$AC$146,3,FALSE),"")</f>
        <v/>
      </c>
      <c r="E122" s="139" t="str">
        <f>VLOOKUP($B122,Şablon!$E$3:$Q$255,3,FALSE)</f>
        <v>B KATEGORİ</v>
      </c>
      <c r="F122" s="140" t="str">
        <f>VLOOKUP($B122,Şablon!$E$3:$Q$255,4,FALSE)</f>
        <v>MEK</v>
      </c>
      <c r="G122" s="141">
        <f>VLOOKUP($B122,Şablon!$E$3:$Q$255,5,FALSE)</f>
        <v>0</v>
      </c>
      <c r="H122" s="142" t="str">
        <f t="shared" si="14"/>
        <v/>
      </c>
      <c r="I122" s="143" t="str">
        <f t="shared" si="15"/>
        <v/>
      </c>
      <c r="J122" s="144" t="str">
        <f>IF(VLOOKUP($B122,'Satınalma Takvimi Veri Girişi'!$B$4:$AC$146,7,FALSE)&lt;&gt;"",VLOOKUP($B122,'Satınalma Takvimi Veri Girişi'!$B$4:$AC$146,7,FALSE),"")</f>
        <v/>
      </c>
      <c r="K122" s="141">
        <f>VLOOKUP($B122,Şablon!$E$3:$Q$255,6,FALSE)</f>
        <v>14</v>
      </c>
      <c r="L122" s="142" t="str">
        <f t="shared" si="16"/>
        <v/>
      </c>
      <c r="M122" s="143" t="str">
        <f t="shared" si="17"/>
        <v/>
      </c>
      <c r="N122" s="144" t="str">
        <f>IF(VLOOKUP($B122,'Satınalma Takvimi Veri Girişi'!$B$4:$AC$146,9,FALSE)&lt;&gt;"",VLOOKUP($B122,'Satınalma Takvimi Veri Girişi'!$B$4:$AC$146,9,FALSE),"")</f>
        <v/>
      </c>
      <c r="O122" s="141">
        <f>VLOOKUP($B122,Şablon!$E$3:$Q$255,7,FALSE)</f>
        <v>7</v>
      </c>
      <c r="P122" s="142" t="str">
        <f t="shared" si="18"/>
        <v/>
      </c>
      <c r="Q122" s="143" t="str">
        <f t="shared" si="19"/>
        <v/>
      </c>
      <c r="R122" s="144" t="str">
        <f>IF(VLOOKUP($B122,'Satınalma Takvimi Veri Girişi'!$B$4:$AC$146,11,FALSE)&lt;&gt;"",VLOOKUP($B122,'Satınalma Takvimi Veri Girişi'!$B$4:$AC$146,11,FALSE),"")</f>
        <v/>
      </c>
      <c r="S122" s="141">
        <f>VLOOKUP($B122,Şablon!$E$3:$Q$255,8,FALSE)</f>
        <v>14</v>
      </c>
      <c r="T122" s="142" t="str">
        <f t="shared" si="20"/>
        <v/>
      </c>
      <c r="U122" s="143" t="str">
        <f t="shared" si="21"/>
        <v/>
      </c>
      <c r="V122" s="144" t="str">
        <f>IF(VLOOKUP($B122,'Satınalma Takvimi Veri Girişi'!$B$4:$AC$146,13,FALSE)&lt;&gt;"",VLOOKUP($B122,'Satınalma Takvimi Veri Girişi'!$B$4:$AC$146,13,FALSE),"")</f>
        <v/>
      </c>
      <c r="W122" s="141">
        <f>VLOOKUP($B122,Şablon!$E$3:$Q$255,9,FALSE)</f>
        <v>7</v>
      </c>
      <c r="X122" s="142" t="str">
        <f t="shared" si="22"/>
        <v/>
      </c>
      <c r="Y122" s="143" t="str">
        <f t="shared" si="23"/>
        <v/>
      </c>
      <c r="Z122" s="144" t="str">
        <f>IF(VLOOKUP($B122,'Satınalma Takvimi Veri Girişi'!$B$4:$AC$146,15,FALSE)&lt;&gt;"",VLOOKUP($B122,'Satınalma Takvimi Veri Girişi'!$B$4:$AC$146,15,FALSE),"")</f>
        <v/>
      </c>
      <c r="AA122" s="141">
        <f>VLOOKUP($B122,Şablon!$E$3:$Q$255,10,FALSE)</f>
        <v>7</v>
      </c>
      <c r="AB122" s="142" t="str">
        <f t="shared" si="24"/>
        <v/>
      </c>
      <c r="AC122" s="143" t="str">
        <f t="shared" si="25"/>
        <v/>
      </c>
      <c r="AD122" s="144" t="str">
        <f>IF(VLOOKUP($B122,'Satınalma Takvimi Veri Girişi'!$B$4:$AC$146,17,FALSE)&lt;&gt;"",VLOOKUP($B122,'Satınalma Takvimi Veri Girişi'!$B$4:$AC$146,17,FALSE),"")</f>
        <v/>
      </c>
      <c r="AE122" s="141">
        <f>(VLOOKUP($B122,Şablon!$E$3:$Q$255,11,FALSE)+VLOOKUP($B122,Şablon!$E$3:$Q$255,12,FALSE))</f>
        <v>42</v>
      </c>
      <c r="AF122" s="142" t="str">
        <f t="shared" si="26"/>
        <v/>
      </c>
      <c r="AG122" s="143" t="str">
        <f t="shared" si="27"/>
        <v/>
      </c>
      <c r="AH122" s="144" t="str">
        <f>IF(VLOOKUP($B122,'Satınalma Takvimi Veri Girişi'!$B$4:$AC$146,19,FALSE)&lt;&gt;"",VLOOKUP($B122,'Satınalma Takvimi Veri Girişi'!$B$4:$AC$146,19,FALSE),"")</f>
        <v/>
      </c>
      <c r="AI122" s="145" t="str">
        <f>IF(VLOOKUP($B122,'Satınalma Takvimi Veri Girişi'!$B$4:$AC$146,20,FALSE)&lt;&gt;"",VLOOKUP($B122,'Satınalma Takvimi Veri Girişi'!$B$4:$AC$146,20,FALSE),"")</f>
        <v/>
      </c>
      <c r="AJ122" s="144" t="str">
        <f>IF(VLOOKUP($B122,'Satınalma Takvimi Veri Girişi'!$B$4:$AC$146,21,FALSE)&lt;&gt;"",VLOOKUP($B122,'Satınalma Takvimi Veri Girişi'!$B$4:$AC$146,21,FALSE),"")</f>
        <v/>
      </c>
      <c r="AK122" s="146" t="str">
        <f>IF(VLOOKUP($B122,'Satınalma Takvimi Veri Girişi'!$B$4:$AC$146,22,FALSE)&lt;&gt;"",VLOOKUP($B122,'Satınalma Takvimi Veri Girişi'!$B$4:$AC$146,22,FALSE),"")</f>
        <v/>
      </c>
      <c r="AL122" s="147" t="str">
        <f>IF(VLOOKUP($B122,'Satınalma Takvimi Veri Girişi'!$B$4:$AC$146,23,FALSE)&lt;&gt;"",VLOOKUP($B122,'Satınalma Takvimi Veri Girişi'!$B$4:$AC$146,23,FALSE),"")</f>
        <v/>
      </c>
      <c r="AM122" s="147" t="str">
        <f>IF(VLOOKUP($B122,'Satınalma Takvimi Veri Girişi'!$B$4:$AC$146,24,FALSE)&lt;&gt;"",VLOOKUP($B122,'Satınalma Takvimi Veri Girişi'!$B$4:$AC$146,24,FALSE),"")</f>
        <v/>
      </c>
      <c r="AN122" s="147" t="str">
        <f>IF(VLOOKUP($B122,'Satınalma Takvimi Veri Girişi'!$B$4:$AC$146,25,FALSE)&lt;&gt;"",VLOOKUP($B122,'Satınalma Takvimi Veri Girişi'!$B$4:$AC$146,25,FALSE),"")</f>
        <v/>
      </c>
      <c r="AO122" s="147" t="str">
        <f>IF(VLOOKUP($B122,'Satınalma Takvimi Veri Girişi'!$B$4:$AC$146,26,FALSE)&lt;&gt;"",VLOOKUP($B122,'Satınalma Takvimi Veri Girişi'!$B$4:$AC$146,26,FALSE),"")</f>
        <v/>
      </c>
      <c r="AP122" s="147" t="str">
        <f>IF(VLOOKUP($B122,'Satınalma Takvimi Veri Girişi'!$B$4:$AC$146,27,FALSE)&lt;&gt;"",VLOOKUP($B122,'Satınalma Takvimi Veri Girişi'!$B$4:$AC$146,27,FALSE),"")</f>
        <v/>
      </c>
      <c r="AQ122" s="148" t="str">
        <f>IF(VLOOKUP($B122,'Satınalma Takvimi Veri Girişi'!$B$4:$AC$146,28,FALSE)&lt;&gt;"",VLOOKUP($B122,'Satınalma Takvimi Veri Girişi'!$B$4:$AC$146,28,FALSE),"")</f>
        <v/>
      </c>
    </row>
    <row r="123" spans="2:43" ht="19.8" customHeight="1" x14ac:dyDescent="0.3">
      <c r="B123" s="64" t="str">
        <f>Şablon!E122</f>
        <v>IHL.3028.117/1</v>
      </c>
      <c r="C123" s="139" t="str">
        <f>VLOOKUP($B123,Şablon!$E$3:$Q$255,2,FALSE)</f>
        <v>31.01.02 (M) SAYAÇ (KALORİMETRE VE SU SAYACI)</v>
      </c>
      <c r="D123" s="161" t="str">
        <f>IF(VLOOKUP($B123,'Satınalma Takvimi Veri Girişi'!$B$4:$AC$146,3,FALSE)&lt;&gt;"",VLOOKUP($B123,'Satınalma Takvimi Veri Girişi'!$B$4:$AC$146,3,FALSE),"")</f>
        <v/>
      </c>
      <c r="E123" s="139" t="str">
        <f>VLOOKUP($B123,Şablon!$E$3:$Q$255,3,FALSE)</f>
        <v>B KATEGORİ</v>
      </c>
      <c r="F123" s="140" t="str">
        <f>VLOOKUP($B123,Şablon!$E$3:$Q$255,4,FALSE)</f>
        <v>MEK</v>
      </c>
      <c r="G123" s="141">
        <f>VLOOKUP($B123,Şablon!$E$3:$Q$255,5,FALSE)</f>
        <v>0</v>
      </c>
      <c r="H123" s="142" t="str">
        <f t="shared" si="14"/>
        <v/>
      </c>
      <c r="I123" s="143" t="str">
        <f t="shared" si="15"/>
        <v/>
      </c>
      <c r="J123" s="144" t="str">
        <f>IF(VLOOKUP($B123,'Satınalma Takvimi Veri Girişi'!$B$4:$AC$146,7,FALSE)&lt;&gt;"",VLOOKUP($B123,'Satınalma Takvimi Veri Girişi'!$B$4:$AC$146,7,FALSE),"")</f>
        <v/>
      </c>
      <c r="K123" s="141">
        <f>VLOOKUP($B123,Şablon!$E$3:$Q$255,6,FALSE)</f>
        <v>14</v>
      </c>
      <c r="L123" s="142" t="str">
        <f t="shared" si="16"/>
        <v/>
      </c>
      <c r="M123" s="143" t="str">
        <f t="shared" si="17"/>
        <v/>
      </c>
      <c r="N123" s="144" t="str">
        <f>IF(VLOOKUP($B123,'Satınalma Takvimi Veri Girişi'!$B$4:$AC$146,9,FALSE)&lt;&gt;"",VLOOKUP($B123,'Satınalma Takvimi Veri Girişi'!$B$4:$AC$146,9,FALSE),"")</f>
        <v/>
      </c>
      <c r="O123" s="141">
        <f>VLOOKUP($B123,Şablon!$E$3:$Q$255,7,FALSE)</f>
        <v>7</v>
      </c>
      <c r="P123" s="142" t="str">
        <f t="shared" si="18"/>
        <v/>
      </c>
      <c r="Q123" s="143" t="str">
        <f t="shared" si="19"/>
        <v/>
      </c>
      <c r="R123" s="144" t="str">
        <f>IF(VLOOKUP($B123,'Satınalma Takvimi Veri Girişi'!$B$4:$AC$146,11,FALSE)&lt;&gt;"",VLOOKUP($B123,'Satınalma Takvimi Veri Girişi'!$B$4:$AC$146,11,FALSE),"")</f>
        <v/>
      </c>
      <c r="S123" s="141">
        <f>VLOOKUP($B123,Şablon!$E$3:$Q$255,8,FALSE)</f>
        <v>14</v>
      </c>
      <c r="T123" s="142" t="str">
        <f t="shared" si="20"/>
        <v/>
      </c>
      <c r="U123" s="143" t="str">
        <f t="shared" si="21"/>
        <v/>
      </c>
      <c r="V123" s="144" t="str">
        <f>IF(VLOOKUP($B123,'Satınalma Takvimi Veri Girişi'!$B$4:$AC$146,13,FALSE)&lt;&gt;"",VLOOKUP($B123,'Satınalma Takvimi Veri Girişi'!$B$4:$AC$146,13,FALSE),"")</f>
        <v/>
      </c>
      <c r="W123" s="141">
        <f>VLOOKUP($B123,Şablon!$E$3:$Q$255,9,FALSE)</f>
        <v>7</v>
      </c>
      <c r="X123" s="142" t="str">
        <f t="shared" si="22"/>
        <v/>
      </c>
      <c r="Y123" s="143" t="str">
        <f t="shared" si="23"/>
        <v/>
      </c>
      <c r="Z123" s="144" t="str">
        <f>IF(VLOOKUP($B123,'Satınalma Takvimi Veri Girişi'!$B$4:$AC$146,15,FALSE)&lt;&gt;"",VLOOKUP($B123,'Satınalma Takvimi Veri Girişi'!$B$4:$AC$146,15,FALSE),"")</f>
        <v/>
      </c>
      <c r="AA123" s="141">
        <f>VLOOKUP($B123,Şablon!$E$3:$Q$255,10,FALSE)</f>
        <v>7</v>
      </c>
      <c r="AB123" s="142" t="str">
        <f t="shared" si="24"/>
        <v/>
      </c>
      <c r="AC123" s="143" t="str">
        <f t="shared" si="25"/>
        <v/>
      </c>
      <c r="AD123" s="144" t="str">
        <f>IF(VLOOKUP($B123,'Satınalma Takvimi Veri Girişi'!$B$4:$AC$146,17,FALSE)&lt;&gt;"",VLOOKUP($B123,'Satınalma Takvimi Veri Girişi'!$B$4:$AC$146,17,FALSE),"")</f>
        <v/>
      </c>
      <c r="AE123" s="141">
        <f>(VLOOKUP($B123,Şablon!$E$3:$Q$255,11,FALSE)+VLOOKUP($B123,Şablon!$E$3:$Q$255,12,FALSE))</f>
        <v>28</v>
      </c>
      <c r="AF123" s="142" t="str">
        <f t="shared" si="26"/>
        <v/>
      </c>
      <c r="AG123" s="143" t="str">
        <f t="shared" si="27"/>
        <v/>
      </c>
      <c r="AH123" s="144" t="str">
        <f>IF(VLOOKUP($B123,'Satınalma Takvimi Veri Girişi'!$B$4:$AC$146,19,FALSE)&lt;&gt;"",VLOOKUP($B123,'Satınalma Takvimi Veri Girişi'!$B$4:$AC$146,19,FALSE),"")</f>
        <v/>
      </c>
      <c r="AI123" s="145" t="str">
        <f>IF(VLOOKUP($B123,'Satınalma Takvimi Veri Girişi'!$B$4:$AC$146,20,FALSE)&lt;&gt;"",VLOOKUP($B123,'Satınalma Takvimi Veri Girişi'!$B$4:$AC$146,20,FALSE),"")</f>
        <v/>
      </c>
      <c r="AJ123" s="144" t="str">
        <f>IF(VLOOKUP($B123,'Satınalma Takvimi Veri Girişi'!$B$4:$AC$146,21,FALSE)&lt;&gt;"",VLOOKUP($B123,'Satınalma Takvimi Veri Girişi'!$B$4:$AC$146,21,FALSE),"")</f>
        <v/>
      </c>
      <c r="AK123" s="146" t="str">
        <f>IF(VLOOKUP($B123,'Satınalma Takvimi Veri Girişi'!$B$4:$AC$146,22,FALSE)&lt;&gt;"",VLOOKUP($B123,'Satınalma Takvimi Veri Girişi'!$B$4:$AC$146,22,FALSE),"")</f>
        <v/>
      </c>
      <c r="AL123" s="147" t="str">
        <f>IF(VLOOKUP($B123,'Satınalma Takvimi Veri Girişi'!$B$4:$AC$146,23,FALSE)&lt;&gt;"",VLOOKUP($B123,'Satınalma Takvimi Veri Girişi'!$B$4:$AC$146,23,FALSE),"")</f>
        <v/>
      </c>
      <c r="AM123" s="147" t="str">
        <f>IF(VLOOKUP($B123,'Satınalma Takvimi Veri Girişi'!$B$4:$AC$146,24,FALSE)&lt;&gt;"",VLOOKUP($B123,'Satınalma Takvimi Veri Girişi'!$B$4:$AC$146,24,FALSE),"")</f>
        <v/>
      </c>
      <c r="AN123" s="147" t="str">
        <f>IF(VLOOKUP($B123,'Satınalma Takvimi Veri Girişi'!$B$4:$AC$146,25,FALSE)&lt;&gt;"",VLOOKUP($B123,'Satınalma Takvimi Veri Girişi'!$B$4:$AC$146,25,FALSE),"")</f>
        <v/>
      </c>
      <c r="AO123" s="147" t="str">
        <f>IF(VLOOKUP($B123,'Satınalma Takvimi Veri Girişi'!$B$4:$AC$146,26,FALSE)&lt;&gt;"",VLOOKUP($B123,'Satınalma Takvimi Veri Girişi'!$B$4:$AC$146,26,FALSE),"")</f>
        <v/>
      </c>
      <c r="AP123" s="147" t="str">
        <f>IF(VLOOKUP($B123,'Satınalma Takvimi Veri Girişi'!$B$4:$AC$146,27,FALSE)&lt;&gt;"",VLOOKUP($B123,'Satınalma Takvimi Veri Girişi'!$B$4:$AC$146,27,FALSE),"")</f>
        <v/>
      </c>
      <c r="AQ123" s="148" t="str">
        <f>IF(VLOOKUP($B123,'Satınalma Takvimi Veri Girişi'!$B$4:$AC$146,28,FALSE)&lt;&gt;"",VLOOKUP($B123,'Satınalma Takvimi Veri Girişi'!$B$4:$AC$146,28,FALSE),"")</f>
        <v/>
      </c>
    </row>
    <row r="124" spans="2:43" ht="19.8" customHeight="1" x14ac:dyDescent="0.3">
      <c r="B124" s="64" t="str">
        <f>Şablon!E123</f>
        <v>IHL.3028.118/1</v>
      </c>
      <c r="C124" s="139" t="str">
        <f>VLOOKUP($B124,Şablon!$E$3:$Q$255,2,FALSE)</f>
        <v>31.02.00 BAKIR BORULAMA VE MONTAJ İŞLERİ</v>
      </c>
      <c r="D124" s="161" t="str">
        <f>IF(VLOOKUP($B124,'Satınalma Takvimi Veri Girişi'!$B$4:$AC$146,3,FALSE)&lt;&gt;"",VLOOKUP($B124,'Satınalma Takvimi Veri Girişi'!$B$4:$AC$146,3,FALSE),"")</f>
        <v/>
      </c>
      <c r="E124" s="139" t="str">
        <f>VLOOKUP($B124,Şablon!$E$3:$Q$255,3,FALSE)</f>
        <v>A KATEGORİ</v>
      </c>
      <c r="F124" s="140" t="str">
        <f>VLOOKUP($B124,Şablon!$E$3:$Q$255,4,FALSE)</f>
        <v>MEK</v>
      </c>
      <c r="G124" s="141">
        <f>VLOOKUP($B124,Şablon!$E$3:$Q$255,5,FALSE)</f>
        <v>0</v>
      </c>
      <c r="H124" s="142" t="str">
        <f t="shared" si="14"/>
        <v/>
      </c>
      <c r="I124" s="143" t="str">
        <f t="shared" si="15"/>
        <v/>
      </c>
      <c r="J124" s="144" t="str">
        <f>IF(VLOOKUP($B124,'Satınalma Takvimi Veri Girişi'!$B$4:$AC$146,7,FALSE)&lt;&gt;"",VLOOKUP($B124,'Satınalma Takvimi Veri Girişi'!$B$4:$AC$146,7,FALSE),"")</f>
        <v/>
      </c>
      <c r="K124" s="141">
        <f>VLOOKUP($B124,Şablon!$E$3:$Q$255,6,FALSE)</f>
        <v>14</v>
      </c>
      <c r="L124" s="142" t="str">
        <f t="shared" si="16"/>
        <v/>
      </c>
      <c r="M124" s="143" t="str">
        <f t="shared" si="17"/>
        <v/>
      </c>
      <c r="N124" s="144" t="str">
        <f>IF(VLOOKUP($B124,'Satınalma Takvimi Veri Girişi'!$B$4:$AC$146,9,FALSE)&lt;&gt;"",VLOOKUP($B124,'Satınalma Takvimi Veri Girişi'!$B$4:$AC$146,9,FALSE),"")</f>
        <v/>
      </c>
      <c r="O124" s="141">
        <f>VLOOKUP($B124,Şablon!$E$3:$Q$255,7,FALSE)</f>
        <v>14</v>
      </c>
      <c r="P124" s="142" t="str">
        <f t="shared" si="18"/>
        <v/>
      </c>
      <c r="Q124" s="143" t="str">
        <f t="shared" si="19"/>
        <v/>
      </c>
      <c r="R124" s="144" t="str">
        <f>IF(VLOOKUP($B124,'Satınalma Takvimi Veri Girişi'!$B$4:$AC$146,11,FALSE)&lt;&gt;"",VLOOKUP($B124,'Satınalma Takvimi Veri Girişi'!$B$4:$AC$146,11,FALSE),"")</f>
        <v/>
      </c>
      <c r="S124" s="141">
        <f>VLOOKUP($B124,Şablon!$E$3:$Q$255,8,FALSE)</f>
        <v>21</v>
      </c>
      <c r="T124" s="142" t="str">
        <f t="shared" si="20"/>
        <v/>
      </c>
      <c r="U124" s="143" t="str">
        <f t="shared" si="21"/>
        <v/>
      </c>
      <c r="V124" s="144" t="str">
        <f>IF(VLOOKUP($B124,'Satınalma Takvimi Veri Girişi'!$B$4:$AC$146,13,FALSE)&lt;&gt;"",VLOOKUP($B124,'Satınalma Takvimi Veri Girişi'!$B$4:$AC$146,13,FALSE),"")</f>
        <v/>
      </c>
      <c r="W124" s="141">
        <f>VLOOKUP($B124,Şablon!$E$3:$Q$255,9,FALSE)</f>
        <v>14</v>
      </c>
      <c r="X124" s="142" t="str">
        <f t="shared" si="22"/>
        <v/>
      </c>
      <c r="Y124" s="143" t="str">
        <f t="shared" si="23"/>
        <v/>
      </c>
      <c r="Z124" s="144" t="str">
        <f>IF(VLOOKUP($B124,'Satınalma Takvimi Veri Girişi'!$B$4:$AC$146,15,FALSE)&lt;&gt;"",VLOOKUP($B124,'Satınalma Takvimi Veri Girişi'!$B$4:$AC$146,15,FALSE),"")</f>
        <v/>
      </c>
      <c r="AA124" s="141">
        <f>VLOOKUP($B124,Şablon!$E$3:$Q$255,10,FALSE)</f>
        <v>14</v>
      </c>
      <c r="AB124" s="142" t="str">
        <f t="shared" si="24"/>
        <v/>
      </c>
      <c r="AC124" s="143" t="str">
        <f t="shared" si="25"/>
        <v/>
      </c>
      <c r="AD124" s="144" t="str">
        <f>IF(VLOOKUP($B124,'Satınalma Takvimi Veri Girişi'!$B$4:$AC$146,17,FALSE)&lt;&gt;"",VLOOKUP($B124,'Satınalma Takvimi Veri Girişi'!$B$4:$AC$146,17,FALSE),"")</f>
        <v/>
      </c>
      <c r="AE124" s="141">
        <f>(VLOOKUP($B124,Şablon!$E$3:$Q$255,11,FALSE)+VLOOKUP($B124,Şablon!$E$3:$Q$255,12,FALSE))</f>
        <v>21</v>
      </c>
      <c r="AF124" s="142" t="str">
        <f t="shared" si="26"/>
        <v/>
      </c>
      <c r="AG124" s="143" t="str">
        <f t="shared" si="27"/>
        <v/>
      </c>
      <c r="AH124" s="144" t="str">
        <f>IF(VLOOKUP($B124,'Satınalma Takvimi Veri Girişi'!$B$4:$AC$146,19,FALSE)&lt;&gt;"",VLOOKUP($B124,'Satınalma Takvimi Veri Girişi'!$B$4:$AC$146,19,FALSE),"")</f>
        <v/>
      </c>
      <c r="AI124" s="145" t="str">
        <f>IF(VLOOKUP($B124,'Satınalma Takvimi Veri Girişi'!$B$4:$AC$146,20,FALSE)&lt;&gt;"",VLOOKUP($B124,'Satınalma Takvimi Veri Girişi'!$B$4:$AC$146,20,FALSE),"")</f>
        <v/>
      </c>
      <c r="AJ124" s="144" t="str">
        <f>IF(VLOOKUP($B124,'Satınalma Takvimi Veri Girişi'!$B$4:$AC$146,21,FALSE)&lt;&gt;"",VLOOKUP($B124,'Satınalma Takvimi Veri Girişi'!$B$4:$AC$146,21,FALSE),"")</f>
        <v/>
      </c>
      <c r="AK124" s="146" t="str">
        <f>IF(VLOOKUP($B124,'Satınalma Takvimi Veri Girişi'!$B$4:$AC$146,22,FALSE)&lt;&gt;"",VLOOKUP($B124,'Satınalma Takvimi Veri Girişi'!$B$4:$AC$146,22,FALSE),"")</f>
        <v/>
      </c>
      <c r="AL124" s="147" t="str">
        <f>IF(VLOOKUP($B124,'Satınalma Takvimi Veri Girişi'!$B$4:$AC$146,23,FALSE)&lt;&gt;"",VLOOKUP($B124,'Satınalma Takvimi Veri Girişi'!$B$4:$AC$146,23,FALSE),"")</f>
        <v/>
      </c>
      <c r="AM124" s="147" t="str">
        <f>IF(VLOOKUP($B124,'Satınalma Takvimi Veri Girişi'!$B$4:$AC$146,24,FALSE)&lt;&gt;"",VLOOKUP($B124,'Satınalma Takvimi Veri Girişi'!$B$4:$AC$146,24,FALSE),"")</f>
        <v/>
      </c>
      <c r="AN124" s="147" t="str">
        <f>IF(VLOOKUP($B124,'Satınalma Takvimi Veri Girişi'!$B$4:$AC$146,25,FALSE)&lt;&gt;"",VLOOKUP($B124,'Satınalma Takvimi Veri Girişi'!$B$4:$AC$146,25,FALSE),"")</f>
        <v/>
      </c>
      <c r="AO124" s="147" t="str">
        <f>IF(VLOOKUP($B124,'Satınalma Takvimi Veri Girişi'!$B$4:$AC$146,26,FALSE)&lt;&gt;"",VLOOKUP($B124,'Satınalma Takvimi Veri Girişi'!$B$4:$AC$146,26,FALSE),"")</f>
        <v/>
      </c>
      <c r="AP124" s="147" t="str">
        <f>IF(VLOOKUP($B124,'Satınalma Takvimi Veri Girişi'!$B$4:$AC$146,27,FALSE)&lt;&gt;"",VLOOKUP($B124,'Satınalma Takvimi Veri Girişi'!$B$4:$AC$146,27,FALSE),"")</f>
        <v/>
      </c>
      <c r="AQ124" s="148" t="str">
        <f>IF(VLOOKUP($B124,'Satınalma Takvimi Veri Girişi'!$B$4:$AC$146,28,FALSE)&lt;&gt;"",VLOOKUP($B124,'Satınalma Takvimi Veri Girişi'!$B$4:$AC$146,28,FALSE),"")</f>
        <v/>
      </c>
    </row>
    <row r="125" spans="2:43" ht="19.8" customHeight="1" x14ac:dyDescent="0.3">
      <c r="B125" s="64" t="str">
        <f>Şablon!E124</f>
        <v>IHL.3028.119/1</v>
      </c>
      <c r="C125" s="139" t="str">
        <f>VLOOKUP($B125,Şablon!$E$3:$Q$255,2,FALSE)</f>
        <v>31.02.01 (M) KLİMA VE VRV İŞLERİ</v>
      </c>
      <c r="D125" s="161" t="str">
        <f>IF(VLOOKUP($B125,'Satınalma Takvimi Veri Girişi'!$B$4:$AC$146,3,FALSE)&lt;&gt;"",VLOOKUP($B125,'Satınalma Takvimi Veri Girişi'!$B$4:$AC$146,3,FALSE),"")</f>
        <v/>
      </c>
      <c r="E125" s="139" t="str">
        <f>VLOOKUP($B125,Şablon!$E$3:$Q$255,3,FALSE)</f>
        <v>A KATEGORİ</v>
      </c>
      <c r="F125" s="140" t="str">
        <f>VLOOKUP($B125,Şablon!$E$3:$Q$255,4,FALSE)</f>
        <v>MEK</v>
      </c>
      <c r="G125" s="141">
        <f>VLOOKUP($B125,Şablon!$E$3:$Q$255,5,FALSE)</f>
        <v>0</v>
      </c>
      <c r="H125" s="142" t="str">
        <f t="shared" si="14"/>
        <v/>
      </c>
      <c r="I125" s="143" t="str">
        <f t="shared" si="15"/>
        <v/>
      </c>
      <c r="J125" s="144" t="str">
        <f>IF(VLOOKUP($B125,'Satınalma Takvimi Veri Girişi'!$B$4:$AC$146,7,FALSE)&lt;&gt;"",VLOOKUP($B125,'Satınalma Takvimi Veri Girişi'!$B$4:$AC$146,7,FALSE),"")</f>
        <v/>
      </c>
      <c r="K125" s="141">
        <f>VLOOKUP($B125,Şablon!$E$3:$Q$255,6,FALSE)</f>
        <v>14</v>
      </c>
      <c r="L125" s="142" t="str">
        <f t="shared" si="16"/>
        <v/>
      </c>
      <c r="M125" s="143" t="str">
        <f t="shared" si="17"/>
        <v/>
      </c>
      <c r="N125" s="144" t="str">
        <f>IF(VLOOKUP($B125,'Satınalma Takvimi Veri Girişi'!$B$4:$AC$146,9,FALSE)&lt;&gt;"",VLOOKUP($B125,'Satınalma Takvimi Veri Girişi'!$B$4:$AC$146,9,FALSE),"")</f>
        <v/>
      </c>
      <c r="O125" s="141">
        <f>VLOOKUP($B125,Şablon!$E$3:$Q$255,7,FALSE)</f>
        <v>14</v>
      </c>
      <c r="P125" s="142" t="str">
        <f t="shared" si="18"/>
        <v/>
      </c>
      <c r="Q125" s="143" t="str">
        <f t="shared" si="19"/>
        <v/>
      </c>
      <c r="R125" s="144" t="str">
        <f>IF(VLOOKUP($B125,'Satınalma Takvimi Veri Girişi'!$B$4:$AC$146,11,FALSE)&lt;&gt;"",VLOOKUP($B125,'Satınalma Takvimi Veri Girişi'!$B$4:$AC$146,11,FALSE),"")</f>
        <v/>
      </c>
      <c r="S125" s="141">
        <f>VLOOKUP($B125,Şablon!$E$3:$Q$255,8,FALSE)</f>
        <v>21</v>
      </c>
      <c r="T125" s="142" t="str">
        <f t="shared" si="20"/>
        <v/>
      </c>
      <c r="U125" s="143" t="str">
        <f t="shared" si="21"/>
        <v/>
      </c>
      <c r="V125" s="144" t="str">
        <f>IF(VLOOKUP($B125,'Satınalma Takvimi Veri Girişi'!$B$4:$AC$146,13,FALSE)&lt;&gt;"",VLOOKUP($B125,'Satınalma Takvimi Veri Girişi'!$B$4:$AC$146,13,FALSE),"")</f>
        <v/>
      </c>
      <c r="W125" s="141">
        <f>VLOOKUP($B125,Şablon!$E$3:$Q$255,9,FALSE)</f>
        <v>14</v>
      </c>
      <c r="X125" s="142" t="str">
        <f t="shared" si="22"/>
        <v/>
      </c>
      <c r="Y125" s="143" t="str">
        <f t="shared" si="23"/>
        <v/>
      </c>
      <c r="Z125" s="144" t="str">
        <f>IF(VLOOKUP($B125,'Satınalma Takvimi Veri Girişi'!$B$4:$AC$146,15,FALSE)&lt;&gt;"",VLOOKUP($B125,'Satınalma Takvimi Veri Girişi'!$B$4:$AC$146,15,FALSE),"")</f>
        <v/>
      </c>
      <c r="AA125" s="141">
        <f>VLOOKUP($B125,Şablon!$E$3:$Q$255,10,FALSE)</f>
        <v>14</v>
      </c>
      <c r="AB125" s="142" t="str">
        <f t="shared" si="24"/>
        <v/>
      </c>
      <c r="AC125" s="143" t="str">
        <f t="shared" si="25"/>
        <v/>
      </c>
      <c r="AD125" s="144" t="str">
        <f>IF(VLOOKUP($B125,'Satınalma Takvimi Veri Girişi'!$B$4:$AC$146,17,FALSE)&lt;&gt;"",VLOOKUP($B125,'Satınalma Takvimi Veri Girişi'!$B$4:$AC$146,17,FALSE),"")</f>
        <v/>
      </c>
      <c r="AE125" s="141">
        <f>(VLOOKUP($B125,Şablon!$E$3:$Q$255,11,FALSE)+VLOOKUP($B125,Şablon!$E$3:$Q$255,12,FALSE))</f>
        <v>56</v>
      </c>
      <c r="AF125" s="142" t="str">
        <f t="shared" si="26"/>
        <v/>
      </c>
      <c r="AG125" s="143" t="str">
        <f t="shared" si="27"/>
        <v/>
      </c>
      <c r="AH125" s="144" t="str">
        <f>IF(VLOOKUP($B125,'Satınalma Takvimi Veri Girişi'!$B$4:$AC$146,19,FALSE)&lt;&gt;"",VLOOKUP($B125,'Satınalma Takvimi Veri Girişi'!$B$4:$AC$146,19,FALSE),"")</f>
        <v/>
      </c>
      <c r="AI125" s="145" t="str">
        <f>IF(VLOOKUP($B125,'Satınalma Takvimi Veri Girişi'!$B$4:$AC$146,20,FALSE)&lt;&gt;"",VLOOKUP($B125,'Satınalma Takvimi Veri Girişi'!$B$4:$AC$146,20,FALSE),"")</f>
        <v/>
      </c>
      <c r="AJ125" s="144" t="str">
        <f>IF(VLOOKUP($B125,'Satınalma Takvimi Veri Girişi'!$B$4:$AC$146,21,FALSE)&lt;&gt;"",VLOOKUP($B125,'Satınalma Takvimi Veri Girişi'!$B$4:$AC$146,21,FALSE),"")</f>
        <v/>
      </c>
      <c r="AK125" s="146" t="str">
        <f>IF(VLOOKUP($B125,'Satınalma Takvimi Veri Girişi'!$B$4:$AC$146,22,FALSE)&lt;&gt;"",VLOOKUP($B125,'Satınalma Takvimi Veri Girişi'!$B$4:$AC$146,22,FALSE),"")</f>
        <v/>
      </c>
      <c r="AL125" s="147" t="str">
        <f>IF(VLOOKUP($B125,'Satınalma Takvimi Veri Girişi'!$B$4:$AC$146,23,FALSE)&lt;&gt;"",VLOOKUP($B125,'Satınalma Takvimi Veri Girişi'!$B$4:$AC$146,23,FALSE),"")</f>
        <v/>
      </c>
      <c r="AM125" s="147" t="str">
        <f>IF(VLOOKUP($B125,'Satınalma Takvimi Veri Girişi'!$B$4:$AC$146,24,FALSE)&lt;&gt;"",VLOOKUP($B125,'Satınalma Takvimi Veri Girişi'!$B$4:$AC$146,24,FALSE),"")</f>
        <v/>
      </c>
      <c r="AN125" s="147" t="str">
        <f>IF(VLOOKUP($B125,'Satınalma Takvimi Veri Girişi'!$B$4:$AC$146,25,FALSE)&lt;&gt;"",VLOOKUP($B125,'Satınalma Takvimi Veri Girişi'!$B$4:$AC$146,25,FALSE),"")</f>
        <v/>
      </c>
      <c r="AO125" s="147" t="str">
        <f>IF(VLOOKUP($B125,'Satınalma Takvimi Veri Girişi'!$B$4:$AC$146,26,FALSE)&lt;&gt;"",VLOOKUP($B125,'Satınalma Takvimi Veri Girişi'!$B$4:$AC$146,26,FALSE),"")</f>
        <v/>
      </c>
      <c r="AP125" s="147" t="str">
        <f>IF(VLOOKUP($B125,'Satınalma Takvimi Veri Girişi'!$B$4:$AC$146,27,FALSE)&lt;&gt;"",VLOOKUP($B125,'Satınalma Takvimi Veri Girişi'!$B$4:$AC$146,27,FALSE),"")</f>
        <v/>
      </c>
      <c r="AQ125" s="148" t="str">
        <f>IF(VLOOKUP($B125,'Satınalma Takvimi Veri Girişi'!$B$4:$AC$146,28,FALSE)&lt;&gt;"",VLOOKUP($B125,'Satınalma Takvimi Veri Girişi'!$B$4:$AC$146,28,FALSE),"")</f>
        <v/>
      </c>
    </row>
    <row r="126" spans="2:43" ht="19.8" customHeight="1" x14ac:dyDescent="0.3">
      <c r="B126" s="64" t="str">
        <f>Şablon!E125</f>
        <v>IHL.3028.120/1</v>
      </c>
      <c r="C126" s="139" t="str">
        <f>VLOOKUP($B126,Şablon!$E$3:$Q$255,2,FALSE)</f>
        <v>31.02.02 (M) KAZAN</v>
      </c>
      <c r="D126" s="161" t="str">
        <f>IF(VLOOKUP($B126,'Satınalma Takvimi Veri Girişi'!$B$4:$AC$146,3,FALSE)&lt;&gt;"",VLOOKUP($B126,'Satınalma Takvimi Veri Girişi'!$B$4:$AC$146,3,FALSE),"")</f>
        <v/>
      </c>
      <c r="E126" s="139" t="str">
        <f>VLOOKUP($B126,Şablon!$E$3:$Q$255,3,FALSE)</f>
        <v>B KATEGORİ</v>
      </c>
      <c r="F126" s="140" t="str">
        <f>VLOOKUP($B126,Şablon!$E$3:$Q$255,4,FALSE)</f>
        <v>MEK</v>
      </c>
      <c r="G126" s="141">
        <f>VLOOKUP($B126,Şablon!$E$3:$Q$255,5,FALSE)</f>
        <v>0</v>
      </c>
      <c r="H126" s="142" t="str">
        <f t="shared" si="14"/>
        <v/>
      </c>
      <c r="I126" s="143" t="str">
        <f t="shared" si="15"/>
        <v/>
      </c>
      <c r="J126" s="144" t="str">
        <f>IF(VLOOKUP($B126,'Satınalma Takvimi Veri Girişi'!$B$4:$AC$146,7,FALSE)&lt;&gt;"",VLOOKUP($B126,'Satınalma Takvimi Veri Girişi'!$B$4:$AC$146,7,FALSE),"")</f>
        <v/>
      </c>
      <c r="K126" s="141">
        <f>VLOOKUP($B126,Şablon!$E$3:$Q$255,6,FALSE)</f>
        <v>14</v>
      </c>
      <c r="L126" s="142" t="str">
        <f t="shared" si="16"/>
        <v/>
      </c>
      <c r="M126" s="143" t="str">
        <f t="shared" si="17"/>
        <v/>
      </c>
      <c r="N126" s="144" t="str">
        <f>IF(VLOOKUP($B126,'Satınalma Takvimi Veri Girişi'!$B$4:$AC$146,9,FALSE)&lt;&gt;"",VLOOKUP($B126,'Satınalma Takvimi Veri Girişi'!$B$4:$AC$146,9,FALSE),"")</f>
        <v/>
      </c>
      <c r="O126" s="141">
        <f>VLOOKUP($B126,Şablon!$E$3:$Q$255,7,FALSE)</f>
        <v>7</v>
      </c>
      <c r="P126" s="142" t="str">
        <f t="shared" si="18"/>
        <v/>
      </c>
      <c r="Q126" s="143" t="str">
        <f t="shared" si="19"/>
        <v/>
      </c>
      <c r="R126" s="144" t="str">
        <f>IF(VLOOKUP($B126,'Satınalma Takvimi Veri Girişi'!$B$4:$AC$146,11,FALSE)&lt;&gt;"",VLOOKUP($B126,'Satınalma Takvimi Veri Girişi'!$B$4:$AC$146,11,FALSE),"")</f>
        <v/>
      </c>
      <c r="S126" s="141">
        <f>VLOOKUP($B126,Şablon!$E$3:$Q$255,8,FALSE)</f>
        <v>14</v>
      </c>
      <c r="T126" s="142" t="str">
        <f t="shared" si="20"/>
        <v/>
      </c>
      <c r="U126" s="143" t="str">
        <f t="shared" si="21"/>
        <v/>
      </c>
      <c r="V126" s="144" t="str">
        <f>IF(VLOOKUP($B126,'Satınalma Takvimi Veri Girişi'!$B$4:$AC$146,13,FALSE)&lt;&gt;"",VLOOKUP($B126,'Satınalma Takvimi Veri Girişi'!$B$4:$AC$146,13,FALSE),"")</f>
        <v/>
      </c>
      <c r="W126" s="141">
        <f>VLOOKUP($B126,Şablon!$E$3:$Q$255,9,FALSE)</f>
        <v>7</v>
      </c>
      <c r="X126" s="142" t="str">
        <f t="shared" si="22"/>
        <v/>
      </c>
      <c r="Y126" s="143" t="str">
        <f t="shared" si="23"/>
        <v/>
      </c>
      <c r="Z126" s="144" t="str">
        <f>IF(VLOOKUP($B126,'Satınalma Takvimi Veri Girişi'!$B$4:$AC$146,15,FALSE)&lt;&gt;"",VLOOKUP($B126,'Satınalma Takvimi Veri Girişi'!$B$4:$AC$146,15,FALSE),"")</f>
        <v/>
      </c>
      <c r="AA126" s="141">
        <f>VLOOKUP($B126,Şablon!$E$3:$Q$255,10,FALSE)</f>
        <v>7</v>
      </c>
      <c r="AB126" s="142" t="str">
        <f t="shared" si="24"/>
        <v/>
      </c>
      <c r="AC126" s="143" t="str">
        <f t="shared" si="25"/>
        <v/>
      </c>
      <c r="AD126" s="144" t="str">
        <f>IF(VLOOKUP($B126,'Satınalma Takvimi Veri Girişi'!$B$4:$AC$146,17,FALSE)&lt;&gt;"",VLOOKUP($B126,'Satınalma Takvimi Veri Girişi'!$B$4:$AC$146,17,FALSE),"")</f>
        <v/>
      </c>
      <c r="AE126" s="141">
        <f>(VLOOKUP($B126,Şablon!$E$3:$Q$255,11,FALSE)+VLOOKUP($B126,Şablon!$E$3:$Q$255,12,FALSE))</f>
        <v>56</v>
      </c>
      <c r="AF126" s="142" t="str">
        <f t="shared" si="26"/>
        <v/>
      </c>
      <c r="AG126" s="143" t="str">
        <f t="shared" si="27"/>
        <v/>
      </c>
      <c r="AH126" s="144" t="str">
        <f>IF(VLOOKUP($B126,'Satınalma Takvimi Veri Girişi'!$B$4:$AC$146,19,FALSE)&lt;&gt;"",VLOOKUP($B126,'Satınalma Takvimi Veri Girişi'!$B$4:$AC$146,19,FALSE),"")</f>
        <v/>
      </c>
      <c r="AI126" s="145" t="str">
        <f>IF(VLOOKUP($B126,'Satınalma Takvimi Veri Girişi'!$B$4:$AC$146,20,FALSE)&lt;&gt;"",VLOOKUP($B126,'Satınalma Takvimi Veri Girişi'!$B$4:$AC$146,20,FALSE),"")</f>
        <v/>
      </c>
      <c r="AJ126" s="144" t="str">
        <f>IF(VLOOKUP($B126,'Satınalma Takvimi Veri Girişi'!$B$4:$AC$146,21,FALSE)&lt;&gt;"",VLOOKUP($B126,'Satınalma Takvimi Veri Girişi'!$B$4:$AC$146,21,FALSE),"")</f>
        <v/>
      </c>
      <c r="AK126" s="146" t="str">
        <f>IF(VLOOKUP($B126,'Satınalma Takvimi Veri Girişi'!$B$4:$AC$146,22,FALSE)&lt;&gt;"",VLOOKUP($B126,'Satınalma Takvimi Veri Girişi'!$B$4:$AC$146,22,FALSE),"")</f>
        <v/>
      </c>
      <c r="AL126" s="147" t="str">
        <f>IF(VLOOKUP($B126,'Satınalma Takvimi Veri Girişi'!$B$4:$AC$146,23,FALSE)&lt;&gt;"",VLOOKUP($B126,'Satınalma Takvimi Veri Girişi'!$B$4:$AC$146,23,FALSE),"")</f>
        <v/>
      </c>
      <c r="AM126" s="147" t="str">
        <f>IF(VLOOKUP($B126,'Satınalma Takvimi Veri Girişi'!$B$4:$AC$146,24,FALSE)&lt;&gt;"",VLOOKUP($B126,'Satınalma Takvimi Veri Girişi'!$B$4:$AC$146,24,FALSE),"")</f>
        <v/>
      </c>
      <c r="AN126" s="147" t="str">
        <f>IF(VLOOKUP($B126,'Satınalma Takvimi Veri Girişi'!$B$4:$AC$146,25,FALSE)&lt;&gt;"",VLOOKUP($B126,'Satınalma Takvimi Veri Girişi'!$B$4:$AC$146,25,FALSE),"")</f>
        <v/>
      </c>
      <c r="AO126" s="147" t="str">
        <f>IF(VLOOKUP($B126,'Satınalma Takvimi Veri Girişi'!$B$4:$AC$146,26,FALSE)&lt;&gt;"",VLOOKUP($B126,'Satınalma Takvimi Veri Girişi'!$B$4:$AC$146,26,FALSE),"")</f>
        <v/>
      </c>
      <c r="AP126" s="147" t="str">
        <f>IF(VLOOKUP($B126,'Satınalma Takvimi Veri Girişi'!$B$4:$AC$146,27,FALSE)&lt;&gt;"",VLOOKUP($B126,'Satınalma Takvimi Veri Girişi'!$B$4:$AC$146,27,FALSE),"")</f>
        <v/>
      </c>
      <c r="AQ126" s="148" t="str">
        <f>IF(VLOOKUP($B126,'Satınalma Takvimi Veri Girişi'!$B$4:$AC$146,28,FALSE)&lt;&gt;"",VLOOKUP($B126,'Satınalma Takvimi Veri Girişi'!$B$4:$AC$146,28,FALSE),"")</f>
        <v/>
      </c>
    </row>
    <row r="127" spans="2:43" ht="19.8" customHeight="1" x14ac:dyDescent="0.3">
      <c r="B127" s="64" t="str">
        <f>Şablon!E126</f>
        <v>IHL.3028.121/1</v>
      </c>
      <c r="C127" s="139" t="str">
        <f>VLOOKUP($B127,Şablon!$E$3:$Q$255,2,FALSE)</f>
        <v>31.02.03 (M) POMPALAR</v>
      </c>
      <c r="D127" s="161" t="str">
        <f>IF(VLOOKUP($B127,'Satınalma Takvimi Veri Girişi'!$B$4:$AC$146,3,FALSE)&lt;&gt;"",VLOOKUP($B127,'Satınalma Takvimi Veri Girişi'!$B$4:$AC$146,3,FALSE),"")</f>
        <v/>
      </c>
      <c r="E127" s="139" t="str">
        <f>VLOOKUP($B127,Şablon!$E$3:$Q$255,3,FALSE)</f>
        <v>B KATEGORİ</v>
      </c>
      <c r="F127" s="140" t="str">
        <f>VLOOKUP($B127,Şablon!$E$3:$Q$255,4,FALSE)</f>
        <v>MEK</v>
      </c>
      <c r="G127" s="141">
        <f>VLOOKUP($B127,Şablon!$E$3:$Q$255,5,FALSE)</f>
        <v>0</v>
      </c>
      <c r="H127" s="142" t="str">
        <f t="shared" si="14"/>
        <v/>
      </c>
      <c r="I127" s="143" t="str">
        <f t="shared" si="15"/>
        <v/>
      </c>
      <c r="J127" s="144" t="str">
        <f>IF(VLOOKUP($B127,'Satınalma Takvimi Veri Girişi'!$B$4:$AC$146,7,FALSE)&lt;&gt;"",VLOOKUP($B127,'Satınalma Takvimi Veri Girişi'!$B$4:$AC$146,7,FALSE),"")</f>
        <v/>
      </c>
      <c r="K127" s="141">
        <f>VLOOKUP($B127,Şablon!$E$3:$Q$255,6,FALSE)</f>
        <v>14</v>
      </c>
      <c r="L127" s="142" t="str">
        <f t="shared" si="16"/>
        <v/>
      </c>
      <c r="M127" s="143" t="str">
        <f t="shared" si="17"/>
        <v/>
      </c>
      <c r="N127" s="144" t="str">
        <f>IF(VLOOKUP($B127,'Satınalma Takvimi Veri Girişi'!$B$4:$AC$146,9,FALSE)&lt;&gt;"",VLOOKUP($B127,'Satınalma Takvimi Veri Girişi'!$B$4:$AC$146,9,FALSE),"")</f>
        <v/>
      </c>
      <c r="O127" s="141">
        <f>VLOOKUP($B127,Şablon!$E$3:$Q$255,7,FALSE)</f>
        <v>7</v>
      </c>
      <c r="P127" s="142" t="str">
        <f t="shared" si="18"/>
        <v/>
      </c>
      <c r="Q127" s="143" t="str">
        <f t="shared" si="19"/>
        <v/>
      </c>
      <c r="R127" s="144" t="str">
        <f>IF(VLOOKUP($B127,'Satınalma Takvimi Veri Girişi'!$B$4:$AC$146,11,FALSE)&lt;&gt;"",VLOOKUP($B127,'Satınalma Takvimi Veri Girişi'!$B$4:$AC$146,11,FALSE),"")</f>
        <v/>
      </c>
      <c r="S127" s="141">
        <f>VLOOKUP($B127,Şablon!$E$3:$Q$255,8,FALSE)</f>
        <v>14</v>
      </c>
      <c r="T127" s="142" t="str">
        <f t="shared" si="20"/>
        <v/>
      </c>
      <c r="U127" s="143" t="str">
        <f t="shared" si="21"/>
        <v/>
      </c>
      <c r="V127" s="144" t="str">
        <f>IF(VLOOKUP($B127,'Satınalma Takvimi Veri Girişi'!$B$4:$AC$146,13,FALSE)&lt;&gt;"",VLOOKUP($B127,'Satınalma Takvimi Veri Girişi'!$B$4:$AC$146,13,FALSE),"")</f>
        <v/>
      </c>
      <c r="W127" s="141">
        <f>VLOOKUP($B127,Şablon!$E$3:$Q$255,9,FALSE)</f>
        <v>7</v>
      </c>
      <c r="X127" s="142" t="str">
        <f t="shared" si="22"/>
        <v/>
      </c>
      <c r="Y127" s="143" t="str">
        <f t="shared" si="23"/>
        <v/>
      </c>
      <c r="Z127" s="144" t="str">
        <f>IF(VLOOKUP($B127,'Satınalma Takvimi Veri Girişi'!$B$4:$AC$146,15,FALSE)&lt;&gt;"",VLOOKUP($B127,'Satınalma Takvimi Veri Girişi'!$B$4:$AC$146,15,FALSE),"")</f>
        <v/>
      </c>
      <c r="AA127" s="141">
        <f>VLOOKUP($B127,Şablon!$E$3:$Q$255,10,FALSE)</f>
        <v>7</v>
      </c>
      <c r="AB127" s="142" t="str">
        <f t="shared" si="24"/>
        <v/>
      </c>
      <c r="AC127" s="143" t="str">
        <f t="shared" si="25"/>
        <v/>
      </c>
      <c r="AD127" s="144" t="str">
        <f>IF(VLOOKUP($B127,'Satınalma Takvimi Veri Girişi'!$B$4:$AC$146,17,FALSE)&lt;&gt;"",VLOOKUP($B127,'Satınalma Takvimi Veri Girişi'!$B$4:$AC$146,17,FALSE),"")</f>
        <v/>
      </c>
      <c r="AE127" s="141">
        <f>(VLOOKUP($B127,Şablon!$E$3:$Q$255,11,FALSE)+VLOOKUP($B127,Şablon!$E$3:$Q$255,12,FALSE))</f>
        <v>42</v>
      </c>
      <c r="AF127" s="142" t="str">
        <f t="shared" si="26"/>
        <v/>
      </c>
      <c r="AG127" s="143" t="str">
        <f t="shared" si="27"/>
        <v/>
      </c>
      <c r="AH127" s="144" t="str">
        <f>IF(VLOOKUP($B127,'Satınalma Takvimi Veri Girişi'!$B$4:$AC$146,19,FALSE)&lt;&gt;"",VLOOKUP($B127,'Satınalma Takvimi Veri Girişi'!$B$4:$AC$146,19,FALSE),"")</f>
        <v/>
      </c>
      <c r="AI127" s="145" t="str">
        <f>IF(VLOOKUP($B127,'Satınalma Takvimi Veri Girişi'!$B$4:$AC$146,20,FALSE)&lt;&gt;"",VLOOKUP($B127,'Satınalma Takvimi Veri Girişi'!$B$4:$AC$146,20,FALSE),"")</f>
        <v/>
      </c>
      <c r="AJ127" s="144" t="str">
        <f>IF(VLOOKUP($B127,'Satınalma Takvimi Veri Girişi'!$B$4:$AC$146,21,FALSE)&lt;&gt;"",VLOOKUP($B127,'Satınalma Takvimi Veri Girişi'!$B$4:$AC$146,21,FALSE),"")</f>
        <v/>
      </c>
      <c r="AK127" s="146" t="str">
        <f>IF(VLOOKUP($B127,'Satınalma Takvimi Veri Girişi'!$B$4:$AC$146,22,FALSE)&lt;&gt;"",VLOOKUP($B127,'Satınalma Takvimi Veri Girişi'!$B$4:$AC$146,22,FALSE),"")</f>
        <v/>
      </c>
      <c r="AL127" s="147" t="str">
        <f>IF(VLOOKUP($B127,'Satınalma Takvimi Veri Girişi'!$B$4:$AC$146,23,FALSE)&lt;&gt;"",VLOOKUP($B127,'Satınalma Takvimi Veri Girişi'!$B$4:$AC$146,23,FALSE),"")</f>
        <v/>
      </c>
      <c r="AM127" s="147" t="str">
        <f>IF(VLOOKUP($B127,'Satınalma Takvimi Veri Girişi'!$B$4:$AC$146,24,FALSE)&lt;&gt;"",VLOOKUP($B127,'Satınalma Takvimi Veri Girişi'!$B$4:$AC$146,24,FALSE),"")</f>
        <v/>
      </c>
      <c r="AN127" s="147" t="str">
        <f>IF(VLOOKUP($B127,'Satınalma Takvimi Veri Girişi'!$B$4:$AC$146,25,FALSE)&lt;&gt;"",VLOOKUP($B127,'Satınalma Takvimi Veri Girişi'!$B$4:$AC$146,25,FALSE),"")</f>
        <v/>
      </c>
      <c r="AO127" s="147" t="str">
        <f>IF(VLOOKUP($B127,'Satınalma Takvimi Veri Girişi'!$B$4:$AC$146,26,FALSE)&lt;&gt;"",VLOOKUP($B127,'Satınalma Takvimi Veri Girişi'!$B$4:$AC$146,26,FALSE),"")</f>
        <v/>
      </c>
      <c r="AP127" s="147" t="str">
        <f>IF(VLOOKUP($B127,'Satınalma Takvimi Veri Girişi'!$B$4:$AC$146,27,FALSE)&lt;&gt;"",VLOOKUP($B127,'Satınalma Takvimi Veri Girişi'!$B$4:$AC$146,27,FALSE),"")</f>
        <v/>
      </c>
      <c r="AQ127" s="148" t="str">
        <f>IF(VLOOKUP($B127,'Satınalma Takvimi Veri Girişi'!$B$4:$AC$146,28,FALSE)&lt;&gt;"",VLOOKUP($B127,'Satınalma Takvimi Veri Girişi'!$B$4:$AC$146,28,FALSE),"")</f>
        <v/>
      </c>
    </row>
    <row r="128" spans="2:43" ht="19.8" customHeight="1" x14ac:dyDescent="0.3">
      <c r="B128" s="64" t="str">
        <f>Şablon!E127</f>
        <v>IHL.3028.122/1</v>
      </c>
      <c r="C128" s="139" t="str">
        <f>VLOOKUP($B128,Şablon!$E$3:$Q$255,2,FALSE)</f>
        <v>31.02.04 SUB-STAİON İŞLERİ</v>
      </c>
      <c r="D128" s="161" t="str">
        <f>IF(VLOOKUP($B128,'Satınalma Takvimi Veri Girişi'!$B$4:$AC$146,3,FALSE)&lt;&gt;"",VLOOKUP($B128,'Satınalma Takvimi Veri Girişi'!$B$4:$AC$146,3,FALSE),"")</f>
        <v/>
      </c>
      <c r="E128" s="139" t="str">
        <f>VLOOKUP($B128,Şablon!$E$3:$Q$255,3,FALSE)</f>
        <v>B KATEGORİ</v>
      </c>
      <c r="F128" s="140" t="str">
        <f>VLOOKUP($B128,Şablon!$E$3:$Q$255,4,FALSE)</f>
        <v>MEK</v>
      </c>
      <c r="G128" s="141">
        <f>VLOOKUP($B128,Şablon!$E$3:$Q$255,5,FALSE)</f>
        <v>0</v>
      </c>
      <c r="H128" s="142" t="str">
        <f t="shared" si="14"/>
        <v/>
      </c>
      <c r="I128" s="143" t="str">
        <f t="shared" si="15"/>
        <v/>
      </c>
      <c r="J128" s="144" t="str">
        <f>IF(VLOOKUP($B128,'Satınalma Takvimi Veri Girişi'!$B$4:$AC$146,7,FALSE)&lt;&gt;"",VLOOKUP($B128,'Satınalma Takvimi Veri Girişi'!$B$4:$AC$146,7,FALSE),"")</f>
        <v/>
      </c>
      <c r="K128" s="141">
        <f>VLOOKUP($B128,Şablon!$E$3:$Q$255,6,FALSE)</f>
        <v>14</v>
      </c>
      <c r="L128" s="142" t="str">
        <f t="shared" si="16"/>
        <v/>
      </c>
      <c r="M128" s="143" t="str">
        <f t="shared" si="17"/>
        <v/>
      </c>
      <c r="N128" s="144" t="str">
        <f>IF(VLOOKUP($B128,'Satınalma Takvimi Veri Girişi'!$B$4:$AC$146,9,FALSE)&lt;&gt;"",VLOOKUP($B128,'Satınalma Takvimi Veri Girişi'!$B$4:$AC$146,9,FALSE),"")</f>
        <v/>
      </c>
      <c r="O128" s="141">
        <f>VLOOKUP($B128,Şablon!$E$3:$Q$255,7,FALSE)</f>
        <v>14</v>
      </c>
      <c r="P128" s="142" t="str">
        <f t="shared" si="18"/>
        <v/>
      </c>
      <c r="Q128" s="143" t="str">
        <f t="shared" si="19"/>
        <v/>
      </c>
      <c r="R128" s="144" t="str">
        <f>IF(VLOOKUP($B128,'Satınalma Takvimi Veri Girişi'!$B$4:$AC$146,11,FALSE)&lt;&gt;"",VLOOKUP($B128,'Satınalma Takvimi Veri Girişi'!$B$4:$AC$146,11,FALSE),"")</f>
        <v/>
      </c>
      <c r="S128" s="141">
        <f>VLOOKUP($B128,Şablon!$E$3:$Q$255,8,FALSE)</f>
        <v>14</v>
      </c>
      <c r="T128" s="142" t="str">
        <f t="shared" si="20"/>
        <v/>
      </c>
      <c r="U128" s="143" t="str">
        <f t="shared" si="21"/>
        <v/>
      </c>
      <c r="V128" s="144" t="str">
        <f>IF(VLOOKUP($B128,'Satınalma Takvimi Veri Girişi'!$B$4:$AC$146,13,FALSE)&lt;&gt;"",VLOOKUP($B128,'Satınalma Takvimi Veri Girişi'!$B$4:$AC$146,13,FALSE),"")</f>
        <v/>
      </c>
      <c r="W128" s="141">
        <f>VLOOKUP($B128,Şablon!$E$3:$Q$255,9,FALSE)</f>
        <v>7</v>
      </c>
      <c r="X128" s="142" t="str">
        <f t="shared" si="22"/>
        <v/>
      </c>
      <c r="Y128" s="143" t="str">
        <f t="shared" si="23"/>
        <v/>
      </c>
      <c r="Z128" s="144" t="str">
        <f>IF(VLOOKUP($B128,'Satınalma Takvimi Veri Girişi'!$B$4:$AC$146,15,FALSE)&lt;&gt;"",VLOOKUP($B128,'Satınalma Takvimi Veri Girişi'!$B$4:$AC$146,15,FALSE),"")</f>
        <v/>
      </c>
      <c r="AA128" s="141">
        <f>VLOOKUP($B128,Şablon!$E$3:$Q$255,10,FALSE)</f>
        <v>7</v>
      </c>
      <c r="AB128" s="142" t="str">
        <f t="shared" si="24"/>
        <v/>
      </c>
      <c r="AC128" s="143" t="str">
        <f t="shared" si="25"/>
        <v/>
      </c>
      <c r="AD128" s="144" t="str">
        <f>IF(VLOOKUP($B128,'Satınalma Takvimi Veri Girişi'!$B$4:$AC$146,17,FALSE)&lt;&gt;"",VLOOKUP($B128,'Satınalma Takvimi Veri Girişi'!$B$4:$AC$146,17,FALSE),"")</f>
        <v/>
      </c>
      <c r="AE128" s="141">
        <f>(VLOOKUP($B128,Şablon!$E$3:$Q$255,11,FALSE)+VLOOKUP($B128,Şablon!$E$3:$Q$255,12,FALSE))</f>
        <v>56</v>
      </c>
      <c r="AF128" s="142" t="str">
        <f t="shared" si="26"/>
        <v/>
      </c>
      <c r="AG128" s="143" t="str">
        <f t="shared" si="27"/>
        <v/>
      </c>
      <c r="AH128" s="144" t="str">
        <f>IF(VLOOKUP($B128,'Satınalma Takvimi Veri Girişi'!$B$4:$AC$146,19,FALSE)&lt;&gt;"",VLOOKUP($B128,'Satınalma Takvimi Veri Girişi'!$B$4:$AC$146,19,FALSE),"")</f>
        <v/>
      </c>
      <c r="AI128" s="145" t="str">
        <f>IF(VLOOKUP($B128,'Satınalma Takvimi Veri Girişi'!$B$4:$AC$146,20,FALSE)&lt;&gt;"",VLOOKUP($B128,'Satınalma Takvimi Veri Girişi'!$B$4:$AC$146,20,FALSE),"")</f>
        <v/>
      </c>
      <c r="AJ128" s="144" t="str">
        <f>IF(VLOOKUP($B128,'Satınalma Takvimi Veri Girişi'!$B$4:$AC$146,21,FALSE)&lt;&gt;"",VLOOKUP($B128,'Satınalma Takvimi Veri Girişi'!$B$4:$AC$146,21,FALSE),"")</f>
        <v/>
      </c>
      <c r="AK128" s="146" t="str">
        <f>IF(VLOOKUP($B128,'Satınalma Takvimi Veri Girişi'!$B$4:$AC$146,22,FALSE)&lt;&gt;"",VLOOKUP($B128,'Satınalma Takvimi Veri Girişi'!$B$4:$AC$146,22,FALSE),"")</f>
        <v/>
      </c>
      <c r="AL128" s="147" t="str">
        <f>IF(VLOOKUP($B128,'Satınalma Takvimi Veri Girişi'!$B$4:$AC$146,23,FALSE)&lt;&gt;"",VLOOKUP($B128,'Satınalma Takvimi Veri Girişi'!$B$4:$AC$146,23,FALSE),"")</f>
        <v/>
      </c>
      <c r="AM128" s="147" t="str">
        <f>IF(VLOOKUP($B128,'Satınalma Takvimi Veri Girişi'!$B$4:$AC$146,24,FALSE)&lt;&gt;"",VLOOKUP($B128,'Satınalma Takvimi Veri Girişi'!$B$4:$AC$146,24,FALSE),"")</f>
        <v/>
      </c>
      <c r="AN128" s="147" t="str">
        <f>IF(VLOOKUP($B128,'Satınalma Takvimi Veri Girişi'!$B$4:$AC$146,25,FALSE)&lt;&gt;"",VLOOKUP($B128,'Satınalma Takvimi Veri Girişi'!$B$4:$AC$146,25,FALSE),"")</f>
        <v/>
      </c>
      <c r="AO128" s="147" t="str">
        <f>IF(VLOOKUP($B128,'Satınalma Takvimi Veri Girişi'!$B$4:$AC$146,26,FALSE)&lt;&gt;"",VLOOKUP($B128,'Satınalma Takvimi Veri Girişi'!$B$4:$AC$146,26,FALSE),"")</f>
        <v/>
      </c>
      <c r="AP128" s="147" t="str">
        <f>IF(VLOOKUP($B128,'Satınalma Takvimi Veri Girişi'!$B$4:$AC$146,27,FALSE)&lt;&gt;"",VLOOKUP($B128,'Satınalma Takvimi Veri Girişi'!$B$4:$AC$146,27,FALSE),"")</f>
        <v/>
      </c>
      <c r="AQ128" s="148" t="str">
        <f>IF(VLOOKUP($B128,'Satınalma Takvimi Veri Girişi'!$B$4:$AC$146,28,FALSE)&lt;&gt;"",VLOOKUP($B128,'Satınalma Takvimi Veri Girişi'!$B$4:$AC$146,28,FALSE),"")</f>
        <v/>
      </c>
    </row>
    <row r="129" spans="2:43" ht="19.8" customHeight="1" x14ac:dyDescent="0.3">
      <c r="B129" s="64" t="str">
        <f>Şablon!E128</f>
        <v>IHL.3028.123/1</v>
      </c>
      <c r="C129" s="139" t="str">
        <f>VLOOKUP($B129,Şablon!$E$3:$Q$255,2,FALSE)</f>
        <v>31.03.00 VRV HAVALANDIRMA İŞLERİ</v>
      </c>
      <c r="D129" s="161" t="str">
        <f>IF(VLOOKUP($B129,'Satınalma Takvimi Veri Girişi'!$B$4:$AC$146,3,FALSE)&lt;&gt;"",VLOOKUP($B129,'Satınalma Takvimi Veri Girişi'!$B$4:$AC$146,3,FALSE),"")</f>
        <v/>
      </c>
      <c r="E129" s="139" t="str">
        <f>VLOOKUP($B129,Şablon!$E$3:$Q$255,3,FALSE)</f>
        <v>B KATEGORİ</v>
      </c>
      <c r="F129" s="140" t="str">
        <f>VLOOKUP($B129,Şablon!$E$3:$Q$255,4,FALSE)</f>
        <v>MEK</v>
      </c>
      <c r="G129" s="141">
        <f>VLOOKUP($B129,Şablon!$E$3:$Q$255,5,FALSE)</f>
        <v>0</v>
      </c>
      <c r="H129" s="142" t="str">
        <f t="shared" si="14"/>
        <v/>
      </c>
      <c r="I129" s="143" t="str">
        <f t="shared" si="15"/>
        <v/>
      </c>
      <c r="J129" s="144" t="str">
        <f>IF(VLOOKUP($B129,'Satınalma Takvimi Veri Girişi'!$B$4:$AC$146,7,FALSE)&lt;&gt;"",VLOOKUP($B129,'Satınalma Takvimi Veri Girişi'!$B$4:$AC$146,7,FALSE),"")</f>
        <v/>
      </c>
      <c r="K129" s="141">
        <f>VLOOKUP($B129,Şablon!$E$3:$Q$255,6,FALSE)</f>
        <v>14</v>
      </c>
      <c r="L129" s="142" t="str">
        <f t="shared" si="16"/>
        <v/>
      </c>
      <c r="M129" s="143" t="str">
        <f t="shared" si="17"/>
        <v/>
      </c>
      <c r="N129" s="144" t="str">
        <f>IF(VLOOKUP($B129,'Satınalma Takvimi Veri Girişi'!$B$4:$AC$146,9,FALSE)&lt;&gt;"",VLOOKUP($B129,'Satınalma Takvimi Veri Girişi'!$B$4:$AC$146,9,FALSE),"")</f>
        <v/>
      </c>
      <c r="O129" s="141">
        <f>VLOOKUP($B129,Şablon!$E$3:$Q$255,7,FALSE)</f>
        <v>14</v>
      </c>
      <c r="P129" s="142" t="str">
        <f t="shared" si="18"/>
        <v/>
      </c>
      <c r="Q129" s="143" t="str">
        <f t="shared" si="19"/>
        <v/>
      </c>
      <c r="R129" s="144" t="str">
        <f>IF(VLOOKUP($B129,'Satınalma Takvimi Veri Girişi'!$B$4:$AC$146,11,FALSE)&lt;&gt;"",VLOOKUP($B129,'Satınalma Takvimi Veri Girişi'!$B$4:$AC$146,11,FALSE),"")</f>
        <v/>
      </c>
      <c r="S129" s="141">
        <f>VLOOKUP($B129,Şablon!$E$3:$Q$255,8,FALSE)</f>
        <v>21</v>
      </c>
      <c r="T129" s="142" t="str">
        <f t="shared" si="20"/>
        <v/>
      </c>
      <c r="U129" s="143" t="str">
        <f t="shared" si="21"/>
        <v/>
      </c>
      <c r="V129" s="144" t="str">
        <f>IF(VLOOKUP($B129,'Satınalma Takvimi Veri Girişi'!$B$4:$AC$146,13,FALSE)&lt;&gt;"",VLOOKUP($B129,'Satınalma Takvimi Veri Girişi'!$B$4:$AC$146,13,FALSE),"")</f>
        <v/>
      </c>
      <c r="W129" s="141">
        <f>VLOOKUP($B129,Şablon!$E$3:$Q$255,9,FALSE)</f>
        <v>7</v>
      </c>
      <c r="X129" s="142" t="str">
        <f t="shared" si="22"/>
        <v/>
      </c>
      <c r="Y129" s="143" t="str">
        <f t="shared" si="23"/>
        <v/>
      </c>
      <c r="Z129" s="144" t="str">
        <f>IF(VLOOKUP($B129,'Satınalma Takvimi Veri Girişi'!$B$4:$AC$146,15,FALSE)&lt;&gt;"",VLOOKUP($B129,'Satınalma Takvimi Veri Girişi'!$B$4:$AC$146,15,FALSE),"")</f>
        <v/>
      </c>
      <c r="AA129" s="141">
        <f>VLOOKUP($B129,Şablon!$E$3:$Q$255,10,FALSE)</f>
        <v>7</v>
      </c>
      <c r="AB129" s="142" t="str">
        <f t="shared" si="24"/>
        <v/>
      </c>
      <c r="AC129" s="143" t="str">
        <f t="shared" si="25"/>
        <v/>
      </c>
      <c r="AD129" s="144" t="str">
        <f>IF(VLOOKUP($B129,'Satınalma Takvimi Veri Girişi'!$B$4:$AC$146,17,FALSE)&lt;&gt;"",VLOOKUP($B129,'Satınalma Takvimi Veri Girişi'!$B$4:$AC$146,17,FALSE),"")</f>
        <v/>
      </c>
      <c r="AE129" s="141">
        <f>(VLOOKUP($B129,Şablon!$E$3:$Q$255,11,FALSE)+VLOOKUP($B129,Şablon!$E$3:$Q$255,12,FALSE))</f>
        <v>28</v>
      </c>
      <c r="AF129" s="142" t="str">
        <f t="shared" si="26"/>
        <v/>
      </c>
      <c r="AG129" s="143" t="str">
        <f t="shared" si="27"/>
        <v/>
      </c>
      <c r="AH129" s="144" t="str">
        <f>IF(VLOOKUP($B129,'Satınalma Takvimi Veri Girişi'!$B$4:$AC$146,19,FALSE)&lt;&gt;"",VLOOKUP($B129,'Satınalma Takvimi Veri Girişi'!$B$4:$AC$146,19,FALSE),"")</f>
        <v/>
      </c>
      <c r="AI129" s="145" t="str">
        <f>IF(VLOOKUP($B129,'Satınalma Takvimi Veri Girişi'!$B$4:$AC$146,20,FALSE)&lt;&gt;"",VLOOKUP($B129,'Satınalma Takvimi Veri Girişi'!$B$4:$AC$146,20,FALSE),"")</f>
        <v/>
      </c>
      <c r="AJ129" s="144" t="str">
        <f>IF(VLOOKUP($B129,'Satınalma Takvimi Veri Girişi'!$B$4:$AC$146,21,FALSE)&lt;&gt;"",VLOOKUP($B129,'Satınalma Takvimi Veri Girişi'!$B$4:$AC$146,21,FALSE),"")</f>
        <v/>
      </c>
      <c r="AK129" s="146" t="str">
        <f>IF(VLOOKUP($B129,'Satınalma Takvimi Veri Girişi'!$B$4:$AC$146,22,FALSE)&lt;&gt;"",VLOOKUP($B129,'Satınalma Takvimi Veri Girişi'!$B$4:$AC$146,22,FALSE),"")</f>
        <v/>
      </c>
      <c r="AL129" s="147" t="str">
        <f>IF(VLOOKUP($B129,'Satınalma Takvimi Veri Girişi'!$B$4:$AC$146,23,FALSE)&lt;&gt;"",VLOOKUP($B129,'Satınalma Takvimi Veri Girişi'!$B$4:$AC$146,23,FALSE),"")</f>
        <v/>
      </c>
      <c r="AM129" s="147" t="str">
        <f>IF(VLOOKUP($B129,'Satınalma Takvimi Veri Girişi'!$B$4:$AC$146,24,FALSE)&lt;&gt;"",VLOOKUP($B129,'Satınalma Takvimi Veri Girişi'!$B$4:$AC$146,24,FALSE),"")</f>
        <v/>
      </c>
      <c r="AN129" s="147" t="str">
        <f>IF(VLOOKUP($B129,'Satınalma Takvimi Veri Girişi'!$B$4:$AC$146,25,FALSE)&lt;&gt;"",VLOOKUP($B129,'Satınalma Takvimi Veri Girişi'!$B$4:$AC$146,25,FALSE),"")</f>
        <v/>
      </c>
      <c r="AO129" s="147" t="str">
        <f>IF(VLOOKUP($B129,'Satınalma Takvimi Veri Girişi'!$B$4:$AC$146,26,FALSE)&lt;&gt;"",VLOOKUP($B129,'Satınalma Takvimi Veri Girişi'!$B$4:$AC$146,26,FALSE),"")</f>
        <v/>
      </c>
      <c r="AP129" s="147" t="str">
        <f>IF(VLOOKUP($B129,'Satınalma Takvimi Veri Girişi'!$B$4:$AC$146,27,FALSE)&lt;&gt;"",VLOOKUP($B129,'Satınalma Takvimi Veri Girişi'!$B$4:$AC$146,27,FALSE),"")</f>
        <v/>
      </c>
      <c r="AQ129" s="148" t="str">
        <f>IF(VLOOKUP($B129,'Satınalma Takvimi Veri Girişi'!$B$4:$AC$146,28,FALSE)&lt;&gt;"",VLOOKUP($B129,'Satınalma Takvimi Veri Girişi'!$B$4:$AC$146,28,FALSE),"")</f>
        <v/>
      </c>
    </row>
    <row r="130" spans="2:43" ht="19.8" customHeight="1" x14ac:dyDescent="0.3">
      <c r="B130" s="64" t="str">
        <f>Şablon!E129</f>
        <v>IHL.3028.124/1</v>
      </c>
      <c r="C130" s="139" t="str">
        <f>VLOOKUP($B130,Şablon!$E$3:$Q$255,2,FALSE)</f>
        <v>31.03.01 (M) FANLAR VE KLİMA SANTRALİ</v>
      </c>
      <c r="D130" s="161" t="str">
        <f>IF(VLOOKUP($B130,'Satınalma Takvimi Veri Girişi'!$B$4:$AC$146,3,FALSE)&lt;&gt;"",VLOOKUP($B130,'Satınalma Takvimi Veri Girişi'!$B$4:$AC$146,3,FALSE),"")</f>
        <v/>
      </c>
      <c r="E130" s="139" t="str">
        <f>VLOOKUP($B130,Şablon!$E$3:$Q$255,3,FALSE)</f>
        <v>B KATEGORİ</v>
      </c>
      <c r="F130" s="140" t="str">
        <f>VLOOKUP($B130,Şablon!$E$3:$Q$255,4,FALSE)</f>
        <v>MEK</v>
      </c>
      <c r="G130" s="141">
        <f>VLOOKUP($B130,Şablon!$E$3:$Q$255,5,FALSE)</f>
        <v>0</v>
      </c>
      <c r="H130" s="142" t="str">
        <f t="shared" si="14"/>
        <v/>
      </c>
      <c r="I130" s="143" t="str">
        <f t="shared" si="15"/>
        <v/>
      </c>
      <c r="J130" s="144" t="str">
        <f>IF(VLOOKUP($B130,'Satınalma Takvimi Veri Girişi'!$B$4:$AC$146,7,FALSE)&lt;&gt;"",VLOOKUP($B130,'Satınalma Takvimi Veri Girişi'!$B$4:$AC$146,7,FALSE),"")</f>
        <v/>
      </c>
      <c r="K130" s="141">
        <f>VLOOKUP($B130,Şablon!$E$3:$Q$255,6,FALSE)</f>
        <v>14</v>
      </c>
      <c r="L130" s="142" t="str">
        <f t="shared" si="16"/>
        <v/>
      </c>
      <c r="M130" s="143" t="str">
        <f t="shared" si="17"/>
        <v/>
      </c>
      <c r="N130" s="144" t="str">
        <f>IF(VLOOKUP($B130,'Satınalma Takvimi Veri Girişi'!$B$4:$AC$146,9,FALSE)&lt;&gt;"",VLOOKUP($B130,'Satınalma Takvimi Veri Girişi'!$B$4:$AC$146,9,FALSE),"")</f>
        <v/>
      </c>
      <c r="O130" s="141">
        <f>VLOOKUP($B130,Şablon!$E$3:$Q$255,7,FALSE)</f>
        <v>14</v>
      </c>
      <c r="P130" s="142" t="str">
        <f t="shared" si="18"/>
        <v/>
      </c>
      <c r="Q130" s="143" t="str">
        <f t="shared" si="19"/>
        <v/>
      </c>
      <c r="R130" s="144" t="str">
        <f>IF(VLOOKUP($B130,'Satınalma Takvimi Veri Girişi'!$B$4:$AC$146,11,FALSE)&lt;&gt;"",VLOOKUP($B130,'Satınalma Takvimi Veri Girişi'!$B$4:$AC$146,11,FALSE),"")</f>
        <v/>
      </c>
      <c r="S130" s="141">
        <f>VLOOKUP($B130,Şablon!$E$3:$Q$255,8,FALSE)</f>
        <v>21</v>
      </c>
      <c r="T130" s="142" t="str">
        <f t="shared" si="20"/>
        <v/>
      </c>
      <c r="U130" s="143" t="str">
        <f t="shared" si="21"/>
        <v/>
      </c>
      <c r="V130" s="144" t="str">
        <f>IF(VLOOKUP($B130,'Satınalma Takvimi Veri Girişi'!$B$4:$AC$146,13,FALSE)&lt;&gt;"",VLOOKUP($B130,'Satınalma Takvimi Veri Girişi'!$B$4:$AC$146,13,FALSE),"")</f>
        <v/>
      </c>
      <c r="W130" s="141">
        <f>VLOOKUP($B130,Şablon!$E$3:$Q$255,9,FALSE)</f>
        <v>7</v>
      </c>
      <c r="X130" s="142" t="str">
        <f t="shared" si="22"/>
        <v/>
      </c>
      <c r="Y130" s="143" t="str">
        <f t="shared" si="23"/>
        <v/>
      </c>
      <c r="Z130" s="144" t="str">
        <f>IF(VLOOKUP($B130,'Satınalma Takvimi Veri Girişi'!$B$4:$AC$146,15,FALSE)&lt;&gt;"",VLOOKUP($B130,'Satınalma Takvimi Veri Girişi'!$B$4:$AC$146,15,FALSE),"")</f>
        <v/>
      </c>
      <c r="AA130" s="141">
        <f>VLOOKUP($B130,Şablon!$E$3:$Q$255,10,FALSE)</f>
        <v>7</v>
      </c>
      <c r="AB130" s="142" t="str">
        <f t="shared" si="24"/>
        <v/>
      </c>
      <c r="AC130" s="143" t="str">
        <f t="shared" si="25"/>
        <v/>
      </c>
      <c r="AD130" s="144" t="str">
        <f>IF(VLOOKUP($B130,'Satınalma Takvimi Veri Girişi'!$B$4:$AC$146,17,FALSE)&lt;&gt;"",VLOOKUP($B130,'Satınalma Takvimi Veri Girişi'!$B$4:$AC$146,17,FALSE),"")</f>
        <v/>
      </c>
      <c r="AE130" s="141">
        <f>(VLOOKUP($B130,Şablon!$E$3:$Q$255,11,FALSE)+VLOOKUP($B130,Şablon!$E$3:$Q$255,12,FALSE))</f>
        <v>56</v>
      </c>
      <c r="AF130" s="142" t="str">
        <f t="shared" si="26"/>
        <v/>
      </c>
      <c r="AG130" s="143" t="str">
        <f t="shared" si="27"/>
        <v/>
      </c>
      <c r="AH130" s="144" t="str">
        <f>IF(VLOOKUP($B130,'Satınalma Takvimi Veri Girişi'!$B$4:$AC$146,19,FALSE)&lt;&gt;"",VLOOKUP($B130,'Satınalma Takvimi Veri Girişi'!$B$4:$AC$146,19,FALSE),"")</f>
        <v/>
      </c>
      <c r="AI130" s="145" t="str">
        <f>IF(VLOOKUP($B130,'Satınalma Takvimi Veri Girişi'!$B$4:$AC$146,20,FALSE)&lt;&gt;"",VLOOKUP($B130,'Satınalma Takvimi Veri Girişi'!$B$4:$AC$146,20,FALSE),"")</f>
        <v/>
      </c>
      <c r="AJ130" s="144" t="str">
        <f>IF(VLOOKUP($B130,'Satınalma Takvimi Veri Girişi'!$B$4:$AC$146,21,FALSE)&lt;&gt;"",VLOOKUP($B130,'Satınalma Takvimi Veri Girişi'!$B$4:$AC$146,21,FALSE),"")</f>
        <v/>
      </c>
      <c r="AK130" s="146" t="str">
        <f>IF(VLOOKUP($B130,'Satınalma Takvimi Veri Girişi'!$B$4:$AC$146,22,FALSE)&lt;&gt;"",VLOOKUP($B130,'Satınalma Takvimi Veri Girişi'!$B$4:$AC$146,22,FALSE),"")</f>
        <v/>
      </c>
      <c r="AL130" s="147" t="str">
        <f>IF(VLOOKUP($B130,'Satınalma Takvimi Veri Girişi'!$B$4:$AC$146,23,FALSE)&lt;&gt;"",VLOOKUP($B130,'Satınalma Takvimi Veri Girişi'!$B$4:$AC$146,23,FALSE),"")</f>
        <v/>
      </c>
      <c r="AM130" s="147" t="str">
        <f>IF(VLOOKUP($B130,'Satınalma Takvimi Veri Girişi'!$B$4:$AC$146,24,FALSE)&lt;&gt;"",VLOOKUP($B130,'Satınalma Takvimi Veri Girişi'!$B$4:$AC$146,24,FALSE),"")</f>
        <v/>
      </c>
      <c r="AN130" s="147" t="str">
        <f>IF(VLOOKUP($B130,'Satınalma Takvimi Veri Girişi'!$B$4:$AC$146,25,FALSE)&lt;&gt;"",VLOOKUP($B130,'Satınalma Takvimi Veri Girişi'!$B$4:$AC$146,25,FALSE),"")</f>
        <v/>
      </c>
      <c r="AO130" s="147" t="str">
        <f>IF(VLOOKUP($B130,'Satınalma Takvimi Veri Girişi'!$B$4:$AC$146,26,FALSE)&lt;&gt;"",VLOOKUP($B130,'Satınalma Takvimi Veri Girişi'!$B$4:$AC$146,26,FALSE),"")</f>
        <v/>
      </c>
      <c r="AP130" s="147" t="str">
        <f>IF(VLOOKUP($B130,'Satınalma Takvimi Veri Girişi'!$B$4:$AC$146,27,FALSE)&lt;&gt;"",VLOOKUP($B130,'Satınalma Takvimi Veri Girişi'!$B$4:$AC$146,27,FALSE),"")</f>
        <v/>
      </c>
      <c r="AQ130" s="148" t="str">
        <f>IF(VLOOKUP($B130,'Satınalma Takvimi Veri Girişi'!$B$4:$AC$146,28,FALSE)&lt;&gt;"",VLOOKUP($B130,'Satınalma Takvimi Veri Girişi'!$B$4:$AC$146,28,FALSE),"")</f>
        <v/>
      </c>
    </row>
    <row r="131" spans="2:43" ht="19.8" customHeight="1" x14ac:dyDescent="0.3">
      <c r="B131" s="64" t="str">
        <f>Şablon!E130</f>
        <v>IHL.3028.125/1</v>
      </c>
      <c r="C131" s="139" t="str">
        <f>VLOOKUP($B131,Şablon!$E$3:$Q$255,2,FALSE)</f>
        <v>31.04.00 (M) YANGIN POMPASI</v>
      </c>
      <c r="D131" s="161" t="str">
        <f>IF(VLOOKUP($B131,'Satınalma Takvimi Veri Girişi'!$B$4:$AC$146,3,FALSE)&lt;&gt;"",VLOOKUP($B131,'Satınalma Takvimi Veri Girişi'!$B$4:$AC$146,3,FALSE),"")</f>
        <v/>
      </c>
      <c r="E131" s="139" t="str">
        <f>VLOOKUP($B131,Şablon!$E$3:$Q$255,3,FALSE)</f>
        <v>B KATEGORİ</v>
      </c>
      <c r="F131" s="140" t="str">
        <f>VLOOKUP($B131,Şablon!$E$3:$Q$255,4,FALSE)</f>
        <v>MEK</v>
      </c>
      <c r="G131" s="141">
        <f>VLOOKUP($B131,Şablon!$E$3:$Q$255,5,FALSE)</f>
        <v>0</v>
      </c>
      <c r="H131" s="142" t="str">
        <f t="shared" si="14"/>
        <v/>
      </c>
      <c r="I131" s="143" t="str">
        <f t="shared" si="15"/>
        <v/>
      </c>
      <c r="J131" s="144" t="str">
        <f>IF(VLOOKUP($B131,'Satınalma Takvimi Veri Girişi'!$B$4:$AC$146,7,FALSE)&lt;&gt;"",VLOOKUP($B131,'Satınalma Takvimi Veri Girişi'!$B$4:$AC$146,7,FALSE),"")</f>
        <v/>
      </c>
      <c r="K131" s="141">
        <f>VLOOKUP($B131,Şablon!$E$3:$Q$255,6,FALSE)</f>
        <v>14</v>
      </c>
      <c r="L131" s="142" t="str">
        <f t="shared" si="16"/>
        <v/>
      </c>
      <c r="M131" s="143" t="str">
        <f t="shared" si="17"/>
        <v/>
      </c>
      <c r="N131" s="144" t="str">
        <f>IF(VLOOKUP($B131,'Satınalma Takvimi Veri Girişi'!$B$4:$AC$146,9,FALSE)&lt;&gt;"",VLOOKUP($B131,'Satınalma Takvimi Veri Girişi'!$B$4:$AC$146,9,FALSE),"")</f>
        <v/>
      </c>
      <c r="O131" s="141">
        <f>VLOOKUP($B131,Şablon!$E$3:$Q$255,7,FALSE)</f>
        <v>7</v>
      </c>
      <c r="P131" s="142" t="str">
        <f t="shared" si="18"/>
        <v/>
      </c>
      <c r="Q131" s="143" t="str">
        <f t="shared" si="19"/>
        <v/>
      </c>
      <c r="R131" s="144" t="str">
        <f>IF(VLOOKUP($B131,'Satınalma Takvimi Veri Girişi'!$B$4:$AC$146,11,FALSE)&lt;&gt;"",VLOOKUP($B131,'Satınalma Takvimi Veri Girişi'!$B$4:$AC$146,11,FALSE),"")</f>
        <v/>
      </c>
      <c r="S131" s="141">
        <f>VLOOKUP($B131,Şablon!$E$3:$Q$255,8,FALSE)</f>
        <v>14</v>
      </c>
      <c r="T131" s="142" t="str">
        <f t="shared" si="20"/>
        <v/>
      </c>
      <c r="U131" s="143" t="str">
        <f t="shared" si="21"/>
        <v/>
      </c>
      <c r="V131" s="144" t="str">
        <f>IF(VLOOKUP($B131,'Satınalma Takvimi Veri Girişi'!$B$4:$AC$146,13,FALSE)&lt;&gt;"",VLOOKUP($B131,'Satınalma Takvimi Veri Girişi'!$B$4:$AC$146,13,FALSE),"")</f>
        <v/>
      </c>
      <c r="W131" s="141">
        <f>VLOOKUP($B131,Şablon!$E$3:$Q$255,9,FALSE)</f>
        <v>7</v>
      </c>
      <c r="X131" s="142" t="str">
        <f t="shared" si="22"/>
        <v/>
      </c>
      <c r="Y131" s="143" t="str">
        <f t="shared" si="23"/>
        <v/>
      </c>
      <c r="Z131" s="144" t="str">
        <f>IF(VLOOKUP($B131,'Satınalma Takvimi Veri Girişi'!$B$4:$AC$146,15,FALSE)&lt;&gt;"",VLOOKUP($B131,'Satınalma Takvimi Veri Girişi'!$B$4:$AC$146,15,FALSE),"")</f>
        <v/>
      </c>
      <c r="AA131" s="141">
        <f>VLOOKUP($B131,Şablon!$E$3:$Q$255,10,FALSE)</f>
        <v>7</v>
      </c>
      <c r="AB131" s="142" t="str">
        <f t="shared" si="24"/>
        <v/>
      </c>
      <c r="AC131" s="143" t="str">
        <f t="shared" si="25"/>
        <v/>
      </c>
      <c r="AD131" s="144" t="str">
        <f>IF(VLOOKUP($B131,'Satınalma Takvimi Veri Girişi'!$B$4:$AC$146,17,FALSE)&lt;&gt;"",VLOOKUP($B131,'Satınalma Takvimi Veri Girişi'!$B$4:$AC$146,17,FALSE),"")</f>
        <v/>
      </c>
      <c r="AE131" s="141">
        <f>(VLOOKUP($B131,Şablon!$E$3:$Q$255,11,FALSE)+VLOOKUP($B131,Şablon!$E$3:$Q$255,12,FALSE))</f>
        <v>70</v>
      </c>
      <c r="AF131" s="142" t="str">
        <f t="shared" si="26"/>
        <v/>
      </c>
      <c r="AG131" s="143" t="str">
        <f t="shared" si="27"/>
        <v/>
      </c>
      <c r="AH131" s="144" t="str">
        <f>IF(VLOOKUP($B131,'Satınalma Takvimi Veri Girişi'!$B$4:$AC$146,19,FALSE)&lt;&gt;"",VLOOKUP($B131,'Satınalma Takvimi Veri Girişi'!$B$4:$AC$146,19,FALSE),"")</f>
        <v/>
      </c>
      <c r="AI131" s="145" t="str">
        <f>IF(VLOOKUP($B131,'Satınalma Takvimi Veri Girişi'!$B$4:$AC$146,20,FALSE)&lt;&gt;"",VLOOKUP($B131,'Satınalma Takvimi Veri Girişi'!$B$4:$AC$146,20,FALSE),"")</f>
        <v/>
      </c>
      <c r="AJ131" s="144" t="str">
        <f>IF(VLOOKUP($B131,'Satınalma Takvimi Veri Girişi'!$B$4:$AC$146,21,FALSE)&lt;&gt;"",VLOOKUP($B131,'Satınalma Takvimi Veri Girişi'!$B$4:$AC$146,21,FALSE),"")</f>
        <v/>
      </c>
      <c r="AK131" s="146" t="str">
        <f>IF(VLOOKUP($B131,'Satınalma Takvimi Veri Girişi'!$B$4:$AC$146,22,FALSE)&lt;&gt;"",VLOOKUP($B131,'Satınalma Takvimi Veri Girişi'!$B$4:$AC$146,22,FALSE),"")</f>
        <v/>
      </c>
      <c r="AL131" s="147" t="str">
        <f>IF(VLOOKUP($B131,'Satınalma Takvimi Veri Girişi'!$B$4:$AC$146,23,FALSE)&lt;&gt;"",VLOOKUP($B131,'Satınalma Takvimi Veri Girişi'!$B$4:$AC$146,23,FALSE),"")</f>
        <v/>
      </c>
      <c r="AM131" s="147" t="str">
        <f>IF(VLOOKUP($B131,'Satınalma Takvimi Veri Girişi'!$B$4:$AC$146,24,FALSE)&lt;&gt;"",VLOOKUP($B131,'Satınalma Takvimi Veri Girişi'!$B$4:$AC$146,24,FALSE),"")</f>
        <v/>
      </c>
      <c r="AN131" s="147" t="str">
        <f>IF(VLOOKUP($B131,'Satınalma Takvimi Veri Girişi'!$B$4:$AC$146,25,FALSE)&lt;&gt;"",VLOOKUP($B131,'Satınalma Takvimi Veri Girişi'!$B$4:$AC$146,25,FALSE),"")</f>
        <v/>
      </c>
      <c r="AO131" s="147" t="str">
        <f>IF(VLOOKUP($B131,'Satınalma Takvimi Veri Girişi'!$B$4:$AC$146,26,FALSE)&lt;&gt;"",VLOOKUP($B131,'Satınalma Takvimi Veri Girişi'!$B$4:$AC$146,26,FALSE),"")</f>
        <v/>
      </c>
      <c r="AP131" s="147" t="str">
        <f>IF(VLOOKUP($B131,'Satınalma Takvimi Veri Girişi'!$B$4:$AC$146,27,FALSE)&lt;&gt;"",VLOOKUP($B131,'Satınalma Takvimi Veri Girişi'!$B$4:$AC$146,27,FALSE),"")</f>
        <v/>
      </c>
      <c r="AQ131" s="148" t="str">
        <f>IF(VLOOKUP($B131,'Satınalma Takvimi Veri Girişi'!$B$4:$AC$146,28,FALSE)&lt;&gt;"",VLOOKUP($B131,'Satınalma Takvimi Veri Girişi'!$B$4:$AC$146,28,FALSE),"")</f>
        <v/>
      </c>
    </row>
    <row r="132" spans="2:43" ht="19.8" customHeight="1" x14ac:dyDescent="0.3">
      <c r="B132" s="64" t="str">
        <f>Şablon!E131</f>
        <v>IHL.3028.126/1</v>
      </c>
      <c r="C132" s="139" t="str">
        <f>VLOOKUP($B132,Şablon!$E$3:$Q$255,2,FALSE)</f>
        <v>31.04.01 FM 200 SİSTEMİ</v>
      </c>
      <c r="D132" s="161" t="str">
        <f>IF(VLOOKUP($B132,'Satınalma Takvimi Veri Girişi'!$B$4:$AC$146,3,FALSE)&lt;&gt;"",VLOOKUP($B132,'Satınalma Takvimi Veri Girişi'!$B$4:$AC$146,3,FALSE),"")</f>
        <v/>
      </c>
      <c r="E132" s="139" t="str">
        <f>VLOOKUP($B132,Şablon!$E$3:$Q$255,3,FALSE)</f>
        <v>B KATEGORİ</v>
      </c>
      <c r="F132" s="140" t="str">
        <f>VLOOKUP($B132,Şablon!$E$3:$Q$255,4,FALSE)</f>
        <v>MEK</v>
      </c>
      <c r="G132" s="141">
        <f>VLOOKUP($B132,Şablon!$E$3:$Q$255,5,FALSE)</f>
        <v>0</v>
      </c>
      <c r="H132" s="142" t="str">
        <f t="shared" si="14"/>
        <v/>
      </c>
      <c r="I132" s="143" t="str">
        <f t="shared" si="15"/>
        <v/>
      </c>
      <c r="J132" s="144" t="str">
        <f>IF(VLOOKUP($B132,'Satınalma Takvimi Veri Girişi'!$B$4:$AC$146,7,FALSE)&lt;&gt;"",VLOOKUP($B132,'Satınalma Takvimi Veri Girişi'!$B$4:$AC$146,7,FALSE),"")</f>
        <v/>
      </c>
      <c r="K132" s="141">
        <f>VLOOKUP($B132,Şablon!$E$3:$Q$255,6,FALSE)</f>
        <v>14</v>
      </c>
      <c r="L132" s="142" t="str">
        <f t="shared" si="16"/>
        <v/>
      </c>
      <c r="M132" s="143" t="str">
        <f t="shared" si="17"/>
        <v/>
      </c>
      <c r="N132" s="144" t="str">
        <f>IF(VLOOKUP($B132,'Satınalma Takvimi Veri Girişi'!$B$4:$AC$146,9,FALSE)&lt;&gt;"",VLOOKUP($B132,'Satınalma Takvimi Veri Girişi'!$B$4:$AC$146,9,FALSE),"")</f>
        <v/>
      </c>
      <c r="O132" s="141">
        <f>VLOOKUP($B132,Şablon!$E$3:$Q$255,7,FALSE)</f>
        <v>7</v>
      </c>
      <c r="P132" s="142" t="str">
        <f t="shared" si="18"/>
        <v/>
      </c>
      <c r="Q132" s="143" t="str">
        <f t="shared" si="19"/>
        <v/>
      </c>
      <c r="R132" s="144" t="str">
        <f>IF(VLOOKUP($B132,'Satınalma Takvimi Veri Girişi'!$B$4:$AC$146,11,FALSE)&lt;&gt;"",VLOOKUP($B132,'Satınalma Takvimi Veri Girişi'!$B$4:$AC$146,11,FALSE),"")</f>
        <v/>
      </c>
      <c r="S132" s="141">
        <f>VLOOKUP($B132,Şablon!$E$3:$Q$255,8,FALSE)</f>
        <v>7</v>
      </c>
      <c r="T132" s="142" t="str">
        <f t="shared" si="20"/>
        <v/>
      </c>
      <c r="U132" s="143" t="str">
        <f t="shared" si="21"/>
        <v/>
      </c>
      <c r="V132" s="144" t="str">
        <f>IF(VLOOKUP($B132,'Satınalma Takvimi Veri Girişi'!$B$4:$AC$146,13,FALSE)&lt;&gt;"",VLOOKUP($B132,'Satınalma Takvimi Veri Girişi'!$B$4:$AC$146,13,FALSE),"")</f>
        <v/>
      </c>
      <c r="W132" s="141">
        <f>VLOOKUP($B132,Şablon!$E$3:$Q$255,9,FALSE)</f>
        <v>7</v>
      </c>
      <c r="X132" s="142" t="str">
        <f t="shared" si="22"/>
        <v/>
      </c>
      <c r="Y132" s="143" t="str">
        <f t="shared" si="23"/>
        <v/>
      </c>
      <c r="Z132" s="144" t="str">
        <f>IF(VLOOKUP($B132,'Satınalma Takvimi Veri Girişi'!$B$4:$AC$146,15,FALSE)&lt;&gt;"",VLOOKUP($B132,'Satınalma Takvimi Veri Girişi'!$B$4:$AC$146,15,FALSE),"")</f>
        <v/>
      </c>
      <c r="AA132" s="141">
        <f>VLOOKUP($B132,Şablon!$E$3:$Q$255,10,FALSE)</f>
        <v>7</v>
      </c>
      <c r="AB132" s="142" t="str">
        <f t="shared" si="24"/>
        <v/>
      </c>
      <c r="AC132" s="143" t="str">
        <f t="shared" si="25"/>
        <v/>
      </c>
      <c r="AD132" s="144" t="str">
        <f>IF(VLOOKUP($B132,'Satınalma Takvimi Veri Girişi'!$B$4:$AC$146,17,FALSE)&lt;&gt;"",VLOOKUP($B132,'Satınalma Takvimi Veri Girişi'!$B$4:$AC$146,17,FALSE),"")</f>
        <v/>
      </c>
      <c r="AE132" s="141">
        <f>(VLOOKUP($B132,Şablon!$E$3:$Q$255,11,FALSE)+VLOOKUP($B132,Şablon!$E$3:$Q$255,12,FALSE))</f>
        <v>42</v>
      </c>
      <c r="AF132" s="142" t="str">
        <f t="shared" si="26"/>
        <v/>
      </c>
      <c r="AG132" s="143" t="str">
        <f t="shared" si="27"/>
        <v/>
      </c>
      <c r="AH132" s="144" t="str">
        <f>IF(VLOOKUP($B132,'Satınalma Takvimi Veri Girişi'!$B$4:$AC$146,19,FALSE)&lt;&gt;"",VLOOKUP($B132,'Satınalma Takvimi Veri Girişi'!$B$4:$AC$146,19,FALSE),"")</f>
        <v/>
      </c>
      <c r="AI132" s="145" t="str">
        <f>IF(VLOOKUP($B132,'Satınalma Takvimi Veri Girişi'!$B$4:$AC$146,20,FALSE)&lt;&gt;"",VLOOKUP($B132,'Satınalma Takvimi Veri Girişi'!$B$4:$AC$146,20,FALSE),"")</f>
        <v/>
      </c>
      <c r="AJ132" s="144" t="str">
        <f>IF(VLOOKUP($B132,'Satınalma Takvimi Veri Girişi'!$B$4:$AC$146,21,FALSE)&lt;&gt;"",VLOOKUP($B132,'Satınalma Takvimi Veri Girişi'!$B$4:$AC$146,21,FALSE),"")</f>
        <v/>
      </c>
      <c r="AK132" s="146" t="str">
        <f>IF(VLOOKUP($B132,'Satınalma Takvimi Veri Girişi'!$B$4:$AC$146,22,FALSE)&lt;&gt;"",VLOOKUP($B132,'Satınalma Takvimi Veri Girişi'!$B$4:$AC$146,22,FALSE),"")</f>
        <v/>
      </c>
      <c r="AL132" s="147" t="str">
        <f>IF(VLOOKUP($B132,'Satınalma Takvimi Veri Girişi'!$B$4:$AC$146,23,FALSE)&lt;&gt;"",VLOOKUP($B132,'Satınalma Takvimi Veri Girişi'!$B$4:$AC$146,23,FALSE),"")</f>
        <v/>
      </c>
      <c r="AM132" s="147" t="str">
        <f>IF(VLOOKUP($B132,'Satınalma Takvimi Veri Girişi'!$B$4:$AC$146,24,FALSE)&lt;&gt;"",VLOOKUP($B132,'Satınalma Takvimi Veri Girişi'!$B$4:$AC$146,24,FALSE),"")</f>
        <v/>
      </c>
      <c r="AN132" s="147" t="str">
        <f>IF(VLOOKUP($B132,'Satınalma Takvimi Veri Girişi'!$B$4:$AC$146,25,FALSE)&lt;&gt;"",VLOOKUP($B132,'Satınalma Takvimi Veri Girişi'!$B$4:$AC$146,25,FALSE),"")</f>
        <v/>
      </c>
      <c r="AO132" s="147" t="str">
        <f>IF(VLOOKUP($B132,'Satınalma Takvimi Veri Girişi'!$B$4:$AC$146,26,FALSE)&lt;&gt;"",VLOOKUP($B132,'Satınalma Takvimi Veri Girişi'!$B$4:$AC$146,26,FALSE),"")</f>
        <v/>
      </c>
      <c r="AP132" s="147" t="str">
        <f>IF(VLOOKUP($B132,'Satınalma Takvimi Veri Girişi'!$B$4:$AC$146,27,FALSE)&lt;&gt;"",VLOOKUP($B132,'Satınalma Takvimi Veri Girişi'!$B$4:$AC$146,27,FALSE),"")</f>
        <v/>
      </c>
      <c r="AQ132" s="148" t="str">
        <f>IF(VLOOKUP($B132,'Satınalma Takvimi Veri Girişi'!$B$4:$AC$146,28,FALSE)&lt;&gt;"",VLOOKUP($B132,'Satınalma Takvimi Veri Girişi'!$B$4:$AC$146,28,FALSE),"")</f>
        <v/>
      </c>
    </row>
    <row r="133" spans="2:43" ht="19.8" customHeight="1" x14ac:dyDescent="0.3">
      <c r="B133" s="64" t="str">
        <f>Şablon!E132</f>
        <v>IHL.3028.127/1</v>
      </c>
      <c r="C133" s="139" t="str">
        <f>VLOOKUP($B133,Şablon!$E$3:$Q$255,2,FALSE)</f>
        <v>31.05.00 DOĞALGAZ SİSTEMİ</v>
      </c>
      <c r="D133" s="161" t="str">
        <f>IF(VLOOKUP($B133,'Satınalma Takvimi Veri Girişi'!$B$4:$AC$146,3,FALSE)&lt;&gt;"",VLOOKUP($B133,'Satınalma Takvimi Veri Girişi'!$B$4:$AC$146,3,FALSE),"")</f>
        <v/>
      </c>
      <c r="E133" s="139" t="str">
        <f>VLOOKUP($B133,Şablon!$E$3:$Q$255,3,FALSE)</f>
        <v>B KATEGORİ</v>
      </c>
      <c r="F133" s="140" t="str">
        <f>VLOOKUP($B133,Şablon!$E$3:$Q$255,4,FALSE)</f>
        <v>MEK</v>
      </c>
      <c r="G133" s="141">
        <f>VLOOKUP($B133,Şablon!$E$3:$Q$255,5,FALSE)</f>
        <v>0</v>
      </c>
      <c r="H133" s="142" t="str">
        <f t="shared" ref="H133:H146" si="28">IFERROR(L133-G133,"")</f>
        <v/>
      </c>
      <c r="I133" s="143" t="str">
        <f t="shared" ref="I133:I146" si="29">IFERROR(N133-J133,"")</f>
        <v/>
      </c>
      <c r="J133" s="144" t="str">
        <f>IF(VLOOKUP($B133,'Satınalma Takvimi Veri Girişi'!$B$4:$AC$146,7,FALSE)&lt;&gt;"",VLOOKUP($B133,'Satınalma Takvimi Veri Girişi'!$B$4:$AC$146,7,FALSE),"")</f>
        <v/>
      </c>
      <c r="K133" s="141">
        <f>VLOOKUP($B133,Şablon!$E$3:$Q$255,6,FALSE)</f>
        <v>14</v>
      </c>
      <c r="L133" s="142" t="str">
        <f t="shared" ref="L133:L146" si="30">IFERROR(P133-K133,"")</f>
        <v/>
      </c>
      <c r="M133" s="143" t="str">
        <f t="shared" ref="M133:M146" si="31">IFERROR(R133-N133,"")</f>
        <v/>
      </c>
      <c r="N133" s="144" t="str">
        <f>IF(VLOOKUP($B133,'Satınalma Takvimi Veri Girişi'!$B$4:$AC$146,9,FALSE)&lt;&gt;"",VLOOKUP($B133,'Satınalma Takvimi Veri Girişi'!$B$4:$AC$146,9,FALSE),"")</f>
        <v/>
      </c>
      <c r="O133" s="141">
        <f>VLOOKUP($B133,Şablon!$E$3:$Q$255,7,FALSE)</f>
        <v>14</v>
      </c>
      <c r="P133" s="142" t="str">
        <f t="shared" ref="P133:P146" si="32">IFERROR(T133-O133,"")</f>
        <v/>
      </c>
      <c r="Q133" s="143" t="str">
        <f t="shared" ref="Q133:Q146" si="33">IFERROR(V133-R133,"")</f>
        <v/>
      </c>
      <c r="R133" s="144" t="str">
        <f>IF(VLOOKUP($B133,'Satınalma Takvimi Veri Girişi'!$B$4:$AC$146,11,FALSE)&lt;&gt;"",VLOOKUP($B133,'Satınalma Takvimi Veri Girişi'!$B$4:$AC$146,11,FALSE),"")</f>
        <v/>
      </c>
      <c r="S133" s="141">
        <f>VLOOKUP($B133,Şablon!$E$3:$Q$255,8,FALSE)</f>
        <v>14</v>
      </c>
      <c r="T133" s="142" t="str">
        <f t="shared" ref="T133:T146" si="34">IFERROR(X133-S133,"")</f>
        <v/>
      </c>
      <c r="U133" s="143" t="str">
        <f t="shared" ref="U133:U146" si="35">IFERROR(Z133-V133,"")</f>
        <v/>
      </c>
      <c r="V133" s="144" t="str">
        <f>IF(VLOOKUP($B133,'Satınalma Takvimi Veri Girişi'!$B$4:$AC$146,13,FALSE)&lt;&gt;"",VLOOKUP($B133,'Satınalma Takvimi Veri Girişi'!$B$4:$AC$146,13,FALSE),"")</f>
        <v/>
      </c>
      <c r="W133" s="141">
        <f>VLOOKUP($B133,Şablon!$E$3:$Q$255,9,FALSE)</f>
        <v>7</v>
      </c>
      <c r="X133" s="142" t="str">
        <f t="shared" ref="X133:X146" si="36">IFERROR(AB133-W133,"")</f>
        <v/>
      </c>
      <c r="Y133" s="143" t="str">
        <f t="shared" ref="Y133:Y146" si="37">IFERROR(AD133-Z133,"")</f>
        <v/>
      </c>
      <c r="Z133" s="144" t="str">
        <f>IF(VLOOKUP($B133,'Satınalma Takvimi Veri Girişi'!$B$4:$AC$146,15,FALSE)&lt;&gt;"",VLOOKUP($B133,'Satınalma Takvimi Veri Girişi'!$B$4:$AC$146,15,FALSE),"")</f>
        <v/>
      </c>
      <c r="AA133" s="141">
        <f>VLOOKUP($B133,Şablon!$E$3:$Q$255,10,FALSE)</f>
        <v>7</v>
      </c>
      <c r="AB133" s="142" t="str">
        <f t="shared" ref="AB133:AB146" si="38">IFERROR(AF133-AA133,"")</f>
        <v/>
      </c>
      <c r="AC133" s="143" t="str">
        <f t="shared" ref="AC133:AC146" si="39">IFERROR(AH133-AD133,"")</f>
        <v/>
      </c>
      <c r="AD133" s="144" t="str">
        <f>IF(VLOOKUP($B133,'Satınalma Takvimi Veri Girişi'!$B$4:$AC$146,17,FALSE)&lt;&gt;"",VLOOKUP($B133,'Satınalma Takvimi Veri Girişi'!$B$4:$AC$146,17,FALSE),"")</f>
        <v/>
      </c>
      <c r="AE133" s="141">
        <f>(VLOOKUP($B133,Şablon!$E$3:$Q$255,11,FALSE)+VLOOKUP($B133,Şablon!$E$3:$Q$255,12,FALSE))</f>
        <v>28</v>
      </c>
      <c r="AF133" s="142" t="str">
        <f t="shared" ref="AF133:AF146" si="40">IFERROR(AI133-AE133,"")</f>
        <v/>
      </c>
      <c r="AG133" s="143" t="str">
        <f t="shared" ref="AG133:AG146" si="41">IFERROR(AJ133-AH133,"")</f>
        <v/>
      </c>
      <c r="AH133" s="144" t="str">
        <f>IF(VLOOKUP($B133,'Satınalma Takvimi Veri Girişi'!$B$4:$AC$146,19,FALSE)&lt;&gt;"",VLOOKUP($B133,'Satınalma Takvimi Veri Girişi'!$B$4:$AC$146,19,FALSE),"")</f>
        <v/>
      </c>
      <c r="AI133" s="145" t="str">
        <f>IF(VLOOKUP($B133,'Satınalma Takvimi Veri Girişi'!$B$4:$AC$146,20,FALSE)&lt;&gt;"",VLOOKUP($B133,'Satınalma Takvimi Veri Girişi'!$B$4:$AC$146,20,FALSE),"")</f>
        <v/>
      </c>
      <c r="AJ133" s="144" t="str">
        <f>IF(VLOOKUP($B133,'Satınalma Takvimi Veri Girişi'!$B$4:$AC$146,21,FALSE)&lt;&gt;"",VLOOKUP($B133,'Satınalma Takvimi Veri Girişi'!$B$4:$AC$146,21,FALSE),"")</f>
        <v/>
      </c>
      <c r="AK133" s="146" t="str">
        <f>IF(VLOOKUP($B133,'Satınalma Takvimi Veri Girişi'!$B$4:$AC$146,22,FALSE)&lt;&gt;"",VLOOKUP($B133,'Satınalma Takvimi Veri Girişi'!$B$4:$AC$146,22,FALSE),"")</f>
        <v/>
      </c>
      <c r="AL133" s="147" t="str">
        <f>IF(VLOOKUP($B133,'Satınalma Takvimi Veri Girişi'!$B$4:$AC$146,23,FALSE)&lt;&gt;"",VLOOKUP($B133,'Satınalma Takvimi Veri Girişi'!$B$4:$AC$146,23,FALSE),"")</f>
        <v/>
      </c>
      <c r="AM133" s="147" t="str">
        <f>IF(VLOOKUP($B133,'Satınalma Takvimi Veri Girişi'!$B$4:$AC$146,24,FALSE)&lt;&gt;"",VLOOKUP($B133,'Satınalma Takvimi Veri Girişi'!$B$4:$AC$146,24,FALSE),"")</f>
        <v/>
      </c>
      <c r="AN133" s="147" t="str">
        <f>IF(VLOOKUP($B133,'Satınalma Takvimi Veri Girişi'!$B$4:$AC$146,25,FALSE)&lt;&gt;"",VLOOKUP($B133,'Satınalma Takvimi Veri Girişi'!$B$4:$AC$146,25,FALSE),"")</f>
        <v/>
      </c>
      <c r="AO133" s="147" t="str">
        <f>IF(VLOOKUP($B133,'Satınalma Takvimi Veri Girişi'!$B$4:$AC$146,26,FALSE)&lt;&gt;"",VLOOKUP($B133,'Satınalma Takvimi Veri Girişi'!$B$4:$AC$146,26,FALSE),"")</f>
        <v/>
      </c>
      <c r="AP133" s="147" t="str">
        <f>IF(VLOOKUP($B133,'Satınalma Takvimi Veri Girişi'!$B$4:$AC$146,27,FALSE)&lt;&gt;"",VLOOKUP($B133,'Satınalma Takvimi Veri Girişi'!$B$4:$AC$146,27,FALSE),"")</f>
        <v/>
      </c>
      <c r="AQ133" s="148" t="str">
        <f>IF(VLOOKUP($B133,'Satınalma Takvimi Veri Girişi'!$B$4:$AC$146,28,FALSE)&lt;&gt;"",VLOOKUP($B133,'Satınalma Takvimi Veri Girişi'!$B$4:$AC$146,28,FALSE),"")</f>
        <v/>
      </c>
    </row>
    <row r="134" spans="2:43" ht="19.8" customHeight="1" x14ac:dyDescent="0.3">
      <c r="B134" s="64" t="str">
        <f>Şablon!E133</f>
        <v>IHL.3028.128/1</v>
      </c>
      <c r="C134" s="139" t="str">
        <f>VLOOKUP($B134,Şablon!$E$3:$Q$255,2,FALSE)</f>
        <v>31.07.00 HAVUZ TESİSAT İŞLERİ</v>
      </c>
      <c r="D134" s="161" t="str">
        <f>IF(VLOOKUP($B134,'Satınalma Takvimi Veri Girişi'!$B$4:$AC$146,3,FALSE)&lt;&gt;"",VLOOKUP($B134,'Satınalma Takvimi Veri Girişi'!$B$4:$AC$146,3,FALSE),"")</f>
        <v/>
      </c>
      <c r="E134" s="139" t="str">
        <f>VLOOKUP($B134,Şablon!$E$3:$Q$255,3,FALSE)</f>
        <v>B KATEGORİ</v>
      </c>
      <c r="F134" s="140" t="str">
        <f>VLOOKUP($B134,Şablon!$E$3:$Q$255,4,FALSE)</f>
        <v>MEK</v>
      </c>
      <c r="G134" s="141">
        <f>VLOOKUP($B134,Şablon!$E$3:$Q$255,5,FALSE)</f>
        <v>0</v>
      </c>
      <c r="H134" s="142" t="str">
        <f t="shared" si="28"/>
        <v/>
      </c>
      <c r="I134" s="143" t="str">
        <f t="shared" si="29"/>
        <v/>
      </c>
      <c r="J134" s="144" t="str">
        <f>IF(VLOOKUP($B134,'Satınalma Takvimi Veri Girişi'!$B$4:$AC$146,7,FALSE)&lt;&gt;"",VLOOKUP($B134,'Satınalma Takvimi Veri Girişi'!$B$4:$AC$146,7,FALSE),"")</f>
        <v/>
      </c>
      <c r="K134" s="141">
        <f>VLOOKUP($B134,Şablon!$E$3:$Q$255,6,FALSE)</f>
        <v>14</v>
      </c>
      <c r="L134" s="142" t="str">
        <f t="shared" si="30"/>
        <v/>
      </c>
      <c r="M134" s="143" t="str">
        <f t="shared" si="31"/>
        <v/>
      </c>
      <c r="N134" s="144" t="str">
        <f>IF(VLOOKUP($B134,'Satınalma Takvimi Veri Girişi'!$B$4:$AC$146,9,FALSE)&lt;&gt;"",VLOOKUP($B134,'Satınalma Takvimi Veri Girişi'!$B$4:$AC$146,9,FALSE),"")</f>
        <v/>
      </c>
      <c r="O134" s="141">
        <f>VLOOKUP($B134,Şablon!$E$3:$Q$255,7,FALSE)</f>
        <v>14</v>
      </c>
      <c r="P134" s="142" t="str">
        <f t="shared" si="32"/>
        <v/>
      </c>
      <c r="Q134" s="143" t="str">
        <f t="shared" si="33"/>
        <v/>
      </c>
      <c r="R134" s="144" t="str">
        <f>IF(VLOOKUP($B134,'Satınalma Takvimi Veri Girişi'!$B$4:$AC$146,11,FALSE)&lt;&gt;"",VLOOKUP($B134,'Satınalma Takvimi Veri Girişi'!$B$4:$AC$146,11,FALSE),"")</f>
        <v/>
      </c>
      <c r="S134" s="141">
        <f>VLOOKUP($B134,Şablon!$E$3:$Q$255,8,FALSE)</f>
        <v>21</v>
      </c>
      <c r="T134" s="142" t="str">
        <f t="shared" si="34"/>
        <v/>
      </c>
      <c r="U134" s="143" t="str">
        <f t="shared" si="35"/>
        <v/>
      </c>
      <c r="V134" s="144" t="str">
        <f>IF(VLOOKUP($B134,'Satınalma Takvimi Veri Girişi'!$B$4:$AC$146,13,FALSE)&lt;&gt;"",VLOOKUP($B134,'Satınalma Takvimi Veri Girişi'!$B$4:$AC$146,13,FALSE),"")</f>
        <v/>
      </c>
      <c r="W134" s="141">
        <f>VLOOKUP($B134,Şablon!$E$3:$Q$255,9,FALSE)</f>
        <v>14</v>
      </c>
      <c r="X134" s="142" t="str">
        <f t="shared" si="36"/>
        <v/>
      </c>
      <c r="Y134" s="143" t="str">
        <f t="shared" si="37"/>
        <v/>
      </c>
      <c r="Z134" s="144" t="str">
        <f>IF(VLOOKUP($B134,'Satınalma Takvimi Veri Girişi'!$B$4:$AC$146,15,FALSE)&lt;&gt;"",VLOOKUP($B134,'Satınalma Takvimi Veri Girişi'!$B$4:$AC$146,15,FALSE),"")</f>
        <v/>
      </c>
      <c r="AA134" s="141">
        <f>VLOOKUP($B134,Şablon!$E$3:$Q$255,10,FALSE)</f>
        <v>14</v>
      </c>
      <c r="AB134" s="142" t="str">
        <f t="shared" si="38"/>
        <v/>
      </c>
      <c r="AC134" s="143" t="str">
        <f t="shared" si="39"/>
        <v/>
      </c>
      <c r="AD134" s="144" t="str">
        <f>IF(VLOOKUP($B134,'Satınalma Takvimi Veri Girişi'!$B$4:$AC$146,17,FALSE)&lt;&gt;"",VLOOKUP($B134,'Satınalma Takvimi Veri Girişi'!$B$4:$AC$146,17,FALSE),"")</f>
        <v/>
      </c>
      <c r="AE134" s="141">
        <f>(VLOOKUP($B134,Şablon!$E$3:$Q$255,11,FALSE)+VLOOKUP($B134,Şablon!$E$3:$Q$255,12,FALSE))</f>
        <v>42</v>
      </c>
      <c r="AF134" s="142" t="str">
        <f t="shared" si="40"/>
        <v/>
      </c>
      <c r="AG134" s="143" t="str">
        <f t="shared" si="41"/>
        <v/>
      </c>
      <c r="AH134" s="144" t="str">
        <f>IF(VLOOKUP($B134,'Satınalma Takvimi Veri Girişi'!$B$4:$AC$146,19,FALSE)&lt;&gt;"",VLOOKUP($B134,'Satınalma Takvimi Veri Girişi'!$B$4:$AC$146,19,FALSE),"")</f>
        <v/>
      </c>
      <c r="AI134" s="145" t="str">
        <f>IF(VLOOKUP($B134,'Satınalma Takvimi Veri Girişi'!$B$4:$AC$146,20,FALSE)&lt;&gt;"",VLOOKUP($B134,'Satınalma Takvimi Veri Girişi'!$B$4:$AC$146,20,FALSE),"")</f>
        <v/>
      </c>
      <c r="AJ134" s="144" t="str">
        <f>IF(VLOOKUP($B134,'Satınalma Takvimi Veri Girişi'!$B$4:$AC$146,21,FALSE)&lt;&gt;"",VLOOKUP($B134,'Satınalma Takvimi Veri Girişi'!$B$4:$AC$146,21,FALSE),"")</f>
        <v/>
      </c>
      <c r="AK134" s="146" t="str">
        <f>IF(VLOOKUP($B134,'Satınalma Takvimi Veri Girişi'!$B$4:$AC$146,22,FALSE)&lt;&gt;"",VLOOKUP($B134,'Satınalma Takvimi Veri Girişi'!$B$4:$AC$146,22,FALSE),"")</f>
        <v/>
      </c>
      <c r="AL134" s="147" t="str">
        <f>IF(VLOOKUP($B134,'Satınalma Takvimi Veri Girişi'!$B$4:$AC$146,23,FALSE)&lt;&gt;"",VLOOKUP($B134,'Satınalma Takvimi Veri Girişi'!$B$4:$AC$146,23,FALSE),"")</f>
        <v/>
      </c>
      <c r="AM134" s="147" t="str">
        <f>IF(VLOOKUP($B134,'Satınalma Takvimi Veri Girişi'!$B$4:$AC$146,24,FALSE)&lt;&gt;"",VLOOKUP($B134,'Satınalma Takvimi Veri Girişi'!$B$4:$AC$146,24,FALSE),"")</f>
        <v/>
      </c>
      <c r="AN134" s="147" t="str">
        <f>IF(VLOOKUP($B134,'Satınalma Takvimi Veri Girişi'!$B$4:$AC$146,25,FALSE)&lt;&gt;"",VLOOKUP($B134,'Satınalma Takvimi Veri Girişi'!$B$4:$AC$146,25,FALSE),"")</f>
        <v/>
      </c>
      <c r="AO134" s="147" t="str">
        <f>IF(VLOOKUP($B134,'Satınalma Takvimi Veri Girişi'!$B$4:$AC$146,26,FALSE)&lt;&gt;"",VLOOKUP($B134,'Satınalma Takvimi Veri Girişi'!$B$4:$AC$146,26,FALSE),"")</f>
        <v/>
      </c>
      <c r="AP134" s="147" t="str">
        <f>IF(VLOOKUP($B134,'Satınalma Takvimi Veri Girişi'!$B$4:$AC$146,27,FALSE)&lt;&gt;"",VLOOKUP($B134,'Satınalma Takvimi Veri Girişi'!$B$4:$AC$146,27,FALSE),"")</f>
        <v/>
      </c>
      <c r="AQ134" s="148" t="str">
        <f>IF(VLOOKUP($B134,'Satınalma Takvimi Veri Girişi'!$B$4:$AC$146,28,FALSE)&lt;&gt;"",VLOOKUP($B134,'Satınalma Takvimi Veri Girişi'!$B$4:$AC$146,28,FALSE),"")</f>
        <v/>
      </c>
    </row>
    <row r="135" spans="2:43" ht="19.8" customHeight="1" x14ac:dyDescent="0.3">
      <c r="B135" s="64" t="str">
        <f>Şablon!E134</f>
        <v>IHL.3028.129/1</v>
      </c>
      <c r="C135" s="139" t="str">
        <f>VLOOKUP($B135,Şablon!$E$3:$Q$255,2,FALSE)</f>
        <v>33.00.00 TEMEL TOPRAKLAMA TESİSAT İŞLERİ</v>
      </c>
      <c r="D135" s="161" t="str">
        <f>IF(VLOOKUP($B135,'Satınalma Takvimi Veri Girişi'!$B$4:$AC$146,3,FALSE)&lt;&gt;"",VLOOKUP($B135,'Satınalma Takvimi Veri Girişi'!$B$4:$AC$146,3,FALSE),"")</f>
        <v/>
      </c>
      <c r="E135" s="139" t="str">
        <f>VLOOKUP($B135,Şablon!$E$3:$Q$255,3,FALSE)</f>
        <v>B KATEGORİ</v>
      </c>
      <c r="F135" s="140" t="str">
        <f>VLOOKUP($B135,Şablon!$E$3:$Q$255,4,FALSE)</f>
        <v>ELK</v>
      </c>
      <c r="G135" s="141">
        <f>VLOOKUP($B135,Şablon!$E$3:$Q$255,5,FALSE)</f>
        <v>0</v>
      </c>
      <c r="H135" s="142" t="str">
        <f t="shared" si="28"/>
        <v/>
      </c>
      <c r="I135" s="143" t="str">
        <f t="shared" si="29"/>
        <v/>
      </c>
      <c r="J135" s="144" t="str">
        <f>IF(VLOOKUP($B135,'Satınalma Takvimi Veri Girişi'!$B$4:$AC$146,7,FALSE)&lt;&gt;"",VLOOKUP($B135,'Satınalma Takvimi Veri Girişi'!$B$4:$AC$146,7,FALSE),"")</f>
        <v/>
      </c>
      <c r="K135" s="141">
        <f>VLOOKUP($B135,Şablon!$E$3:$Q$255,6,FALSE)</f>
        <v>14</v>
      </c>
      <c r="L135" s="142" t="str">
        <f t="shared" si="30"/>
        <v/>
      </c>
      <c r="M135" s="143" t="str">
        <f t="shared" si="31"/>
        <v/>
      </c>
      <c r="N135" s="144" t="str">
        <f>IF(VLOOKUP($B135,'Satınalma Takvimi Veri Girişi'!$B$4:$AC$146,9,FALSE)&lt;&gt;"",VLOOKUP($B135,'Satınalma Takvimi Veri Girişi'!$B$4:$AC$146,9,FALSE),"")</f>
        <v/>
      </c>
      <c r="O135" s="141">
        <f>VLOOKUP($B135,Şablon!$E$3:$Q$255,7,FALSE)</f>
        <v>7</v>
      </c>
      <c r="P135" s="142" t="str">
        <f t="shared" si="32"/>
        <v/>
      </c>
      <c r="Q135" s="143" t="str">
        <f t="shared" si="33"/>
        <v/>
      </c>
      <c r="R135" s="144" t="str">
        <f>IF(VLOOKUP($B135,'Satınalma Takvimi Veri Girişi'!$B$4:$AC$146,11,FALSE)&lt;&gt;"",VLOOKUP($B135,'Satınalma Takvimi Veri Girişi'!$B$4:$AC$146,11,FALSE),"")</f>
        <v/>
      </c>
      <c r="S135" s="141">
        <f>VLOOKUP($B135,Şablon!$E$3:$Q$255,8,FALSE)</f>
        <v>14</v>
      </c>
      <c r="T135" s="142" t="str">
        <f t="shared" si="34"/>
        <v/>
      </c>
      <c r="U135" s="143" t="str">
        <f t="shared" si="35"/>
        <v/>
      </c>
      <c r="V135" s="144" t="str">
        <f>IF(VLOOKUP($B135,'Satınalma Takvimi Veri Girişi'!$B$4:$AC$146,13,FALSE)&lt;&gt;"",VLOOKUP($B135,'Satınalma Takvimi Veri Girişi'!$B$4:$AC$146,13,FALSE),"")</f>
        <v/>
      </c>
      <c r="W135" s="141">
        <f>VLOOKUP($B135,Şablon!$E$3:$Q$255,9,FALSE)</f>
        <v>7</v>
      </c>
      <c r="X135" s="142" t="str">
        <f t="shared" si="36"/>
        <v/>
      </c>
      <c r="Y135" s="143" t="str">
        <f t="shared" si="37"/>
        <v/>
      </c>
      <c r="Z135" s="144" t="str">
        <f>IF(VLOOKUP($B135,'Satınalma Takvimi Veri Girişi'!$B$4:$AC$146,15,FALSE)&lt;&gt;"",VLOOKUP($B135,'Satınalma Takvimi Veri Girişi'!$B$4:$AC$146,15,FALSE),"")</f>
        <v/>
      </c>
      <c r="AA135" s="141">
        <f>VLOOKUP($B135,Şablon!$E$3:$Q$255,10,FALSE)</f>
        <v>7</v>
      </c>
      <c r="AB135" s="142" t="str">
        <f t="shared" si="38"/>
        <v/>
      </c>
      <c r="AC135" s="143" t="str">
        <f t="shared" si="39"/>
        <v/>
      </c>
      <c r="AD135" s="144" t="str">
        <f>IF(VLOOKUP($B135,'Satınalma Takvimi Veri Girişi'!$B$4:$AC$146,17,FALSE)&lt;&gt;"",VLOOKUP($B135,'Satınalma Takvimi Veri Girişi'!$B$4:$AC$146,17,FALSE),"")</f>
        <v/>
      </c>
      <c r="AE135" s="141">
        <f>(VLOOKUP($B135,Şablon!$E$3:$Q$255,11,FALSE)+VLOOKUP($B135,Şablon!$E$3:$Q$255,12,FALSE))</f>
        <v>7</v>
      </c>
      <c r="AF135" s="142" t="str">
        <f t="shared" si="40"/>
        <v/>
      </c>
      <c r="AG135" s="143" t="str">
        <f t="shared" si="41"/>
        <v/>
      </c>
      <c r="AH135" s="144" t="str">
        <f>IF(VLOOKUP($B135,'Satınalma Takvimi Veri Girişi'!$B$4:$AC$146,19,FALSE)&lt;&gt;"",VLOOKUP($B135,'Satınalma Takvimi Veri Girişi'!$B$4:$AC$146,19,FALSE),"")</f>
        <v/>
      </c>
      <c r="AI135" s="145" t="str">
        <f>IF(VLOOKUP($B135,'Satınalma Takvimi Veri Girişi'!$B$4:$AC$146,20,FALSE)&lt;&gt;"",VLOOKUP($B135,'Satınalma Takvimi Veri Girişi'!$B$4:$AC$146,20,FALSE),"")</f>
        <v/>
      </c>
      <c r="AJ135" s="144" t="str">
        <f>IF(VLOOKUP($B135,'Satınalma Takvimi Veri Girişi'!$B$4:$AC$146,21,FALSE)&lt;&gt;"",VLOOKUP($B135,'Satınalma Takvimi Veri Girişi'!$B$4:$AC$146,21,FALSE),"")</f>
        <v/>
      </c>
      <c r="AK135" s="146" t="str">
        <f>IF(VLOOKUP($B135,'Satınalma Takvimi Veri Girişi'!$B$4:$AC$146,22,FALSE)&lt;&gt;"",VLOOKUP($B135,'Satınalma Takvimi Veri Girişi'!$B$4:$AC$146,22,FALSE),"")</f>
        <v/>
      </c>
      <c r="AL135" s="147" t="str">
        <f>IF(VLOOKUP($B135,'Satınalma Takvimi Veri Girişi'!$B$4:$AC$146,23,FALSE)&lt;&gt;"",VLOOKUP($B135,'Satınalma Takvimi Veri Girişi'!$B$4:$AC$146,23,FALSE),"")</f>
        <v/>
      </c>
      <c r="AM135" s="147" t="str">
        <f>IF(VLOOKUP($B135,'Satınalma Takvimi Veri Girişi'!$B$4:$AC$146,24,FALSE)&lt;&gt;"",VLOOKUP($B135,'Satınalma Takvimi Veri Girişi'!$B$4:$AC$146,24,FALSE),"")</f>
        <v/>
      </c>
      <c r="AN135" s="147" t="str">
        <f>IF(VLOOKUP($B135,'Satınalma Takvimi Veri Girişi'!$B$4:$AC$146,25,FALSE)&lt;&gt;"",VLOOKUP($B135,'Satınalma Takvimi Veri Girişi'!$B$4:$AC$146,25,FALSE),"")</f>
        <v/>
      </c>
      <c r="AO135" s="147" t="str">
        <f>IF(VLOOKUP($B135,'Satınalma Takvimi Veri Girişi'!$B$4:$AC$146,26,FALSE)&lt;&gt;"",VLOOKUP($B135,'Satınalma Takvimi Veri Girişi'!$B$4:$AC$146,26,FALSE),"")</f>
        <v/>
      </c>
      <c r="AP135" s="147" t="str">
        <f>IF(VLOOKUP($B135,'Satınalma Takvimi Veri Girişi'!$B$4:$AC$146,27,FALSE)&lt;&gt;"",VLOOKUP($B135,'Satınalma Takvimi Veri Girişi'!$B$4:$AC$146,27,FALSE),"")</f>
        <v/>
      </c>
      <c r="AQ135" s="148" t="str">
        <f>IF(VLOOKUP($B135,'Satınalma Takvimi Veri Girişi'!$B$4:$AC$146,28,FALSE)&lt;&gt;"",VLOOKUP($B135,'Satınalma Takvimi Veri Girişi'!$B$4:$AC$146,28,FALSE),"")</f>
        <v/>
      </c>
    </row>
    <row r="136" spans="2:43" ht="19.8" customHeight="1" x14ac:dyDescent="0.3">
      <c r="B136" s="64" t="str">
        <f>Şablon!E135</f>
        <v>IHL.3028.130/1</v>
      </c>
      <c r="C136" s="139" t="str">
        <f>VLOOKUP($B136,Şablon!$E$3:$Q$255,2,FALSE)</f>
        <v>33.00.01 ELEKTRİK TESİSAT İŞLERİ</v>
      </c>
      <c r="D136" s="161" t="str">
        <f>IF(VLOOKUP($B136,'Satınalma Takvimi Veri Girişi'!$B$4:$AC$146,3,FALSE)&lt;&gt;"",VLOOKUP($B136,'Satınalma Takvimi Veri Girişi'!$B$4:$AC$146,3,FALSE),"")</f>
        <v/>
      </c>
      <c r="E136" s="139" t="str">
        <f>VLOOKUP($B136,Şablon!$E$3:$Q$255,3,FALSE)</f>
        <v>A KATEGORİ</v>
      </c>
      <c r="F136" s="140" t="str">
        <f>VLOOKUP($B136,Şablon!$E$3:$Q$255,4,FALSE)</f>
        <v>ELK</v>
      </c>
      <c r="G136" s="141">
        <f>VLOOKUP($B136,Şablon!$E$3:$Q$255,5,FALSE)</f>
        <v>0</v>
      </c>
      <c r="H136" s="142" t="str">
        <f t="shared" si="28"/>
        <v/>
      </c>
      <c r="I136" s="143" t="str">
        <f t="shared" si="29"/>
        <v/>
      </c>
      <c r="J136" s="144" t="str">
        <f>IF(VLOOKUP($B136,'Satınalma Takvimi Veri Girişi'!$B$4:$AC$146,7,FALSE)&lt;&gt;"",VLOOKUP($B136,'Satınalma Takvimi Veri Girişi'!$B$4:$AC$146,7,FALSE),"")</f>
        <v/>
      </c>
      <c r="K136" s="141">
        <f>VLOOKUP($B136,Şablon!$E$3:$Q$255,6,FALSE)</f>
        <v>14</v>
      </c>
      <c r="L136" s="142" t="str">
        <f t="shared" si="30"/>
        <v/>
      </c>
      <c r="M136" s="143" t="str">
        <f t="shared" si="31"/>
        <v/>
      </c>
      <c r="N136" s="144" t="str">
        <f>IF(VLOOKUP($B136,'Satınalma Takvimi Veri Girişi'!$B$4:$AC$146,9,FALSE)&lt;&gt;"",VLOOKUP($B136,'Satınalma Takvimi Veri Girişi'!$B$4:$AC$146,9,FALSE),"")</f>
        <v/>
      </c>
      <c r="O136" s="141">
        <f>VLOOKUP($B136,Şablon!$E$3:$Q$255,7,FALSE)</f>
        <v>21</v>
      </c>
      <c r="P136" s="142" t="str">
        <f t="shared" si="32"/>
        <v/>
      </c>
      <c r="Q136" s="143" t="str">
        <f t="shared" si="33"/>
        <v/>
      </c>
      <c r="R136" s="144" t="str">
        <f>IF(VLOOKUP($B136,'Satınalma Takvimi Veri Girişi'!$B$4:$AC$146,11,FALSE)&lt;&gt;"",VLOOKUP($B136,'Satınalma Takvimi Veri Girişi'!$B$4:$AC$146,11,FALSE),"")</f>
        <v/>
      </c>
      <c r="S136" s="141">
        <f>VLOOKUP($B136,Şablon!$E$3:$Q$255,8,FALSE)</f>
        <v>30</v>
      </c>
      <c r="T136" s="142" t="str">
        <f t="shared" si="34"/>
        <v/>
      </c>
      <c r="U136" s="143" t="str">
        <f t="shared" si="35"/>
        <v/>
      </c>
      <c r="V136" s="144" t="str">
        <f>IF(VLOOKUP($B136,'Satınalma Takvimi Veri Girişi'!$B$4:$AC$146,13,FALSE)&lt;&gt;"",VLOOKUP($B136,'Satınalma Takvimi Veri Girişi'!$B$4:$AC$146,13,FALSE),"")</f>
        <v/>
      </c>
      <c r="W136" s="141">
        <f>VLOOKUP($B136,Şablon!$E$3:$Q$255,9,FALSE)</f>
        <v>10</v>
      </c>
      <c r="X136" s="142" t="str">
        <f t="shared" si="36"/>
        <v/>
      </c>
      <c r="Y136" s="143" t="str">
        <f t="shared" si="37"/>
        <v/>
      </c>
      <c r="Z136" s="144" t="str">
        <f>IF(VLOOKUP($B136,'Satınalma Takvimi Veri Girişi'!$B$4:$AC$146,15,FALSE)&lt;&gt;"",VLOOKUP($B136,'Satınalma Takvimi Veri Girişi'!$B$4:$AC$146,15,FALSE),"")</f>
        <v/>
      </c>
      <c r="AA136" s="141">
        <f>VLOOKUP($B136,Şablon!$E$3:$Q$255,10,FALSE)</f>
        <v>14</v>
      </c>
      <c r="AB136" s="142" t="str">
        <f t="shared" si="38"/>
        <v/>
      </c>
      <c r="AC136" s="143" t="str">
        <f t="shared" si="39"/>
        <v/>
      </c>
      <c r="AD136" s="144" t="str">
        <f>IF(VLOOKUP($B136,'Satınalma Takvimi Veri Girişi'!$B$4:$AC$146,17,FALSE)&lt;&gt;"",VLOOKUP($B136,'Satınalma Takvimi Veri Girişi'!$B$4:$AC$146,17,FALSE),"")</f>
        <v/>
      </c>
      <c r="AE136" s="141">
        <f>(VLOOKUP($B136,Şablon!$E$3:$Q$255,11,FALSE)+VLOOKUP($B136,Şablon!$E$3:$Q$255,12,FALSE))</f>
        <v>14</v>
      </c>
      <c r="AF136" s="142" t="str">
        <f t="shared" si="40"/>
        <v/>
      </c>
      <c r="AG136" s="143" t="str">
        <f t="shared" si="41"/>
        <v/>
      </c>
      <c r="AH136" s="144" t="str">
        <f>IF(VLOOKUP($B136,'Satınalma Takvimi Veri Girişi'!$B$4:$AC$146,19,FALSE)&lt;&gt;"",VLOOKUP($B136,'Satınalma Takvimi Veri Girişi'!$B$4:$AC$146,19,FALSE),"")</f>
        <v/>
      </c>
      <c r="AI136" s="145" t="str">
        <f>IF(VLOOKUP($B136,'Satınalma Takvimi Veri Girişi'!$B$4:$AC$146,20,FALSE)&lt;&gt;"",VLOOKUP($B136,'Satınalma Takvimi Veri Girişi'!$B$4:$AC$146,20,FALSE),"")</f>
        <v/>
      </c>
      <c r="AJ136" s="144" t="str">
        <f>IF(VLOOKUP($B136,'Satınalma Takvimi Veri Girişi'!$B$4:$AC$146,21,FALSE)&lt;&gt;"",VLOOKUP($B136,'Satınalma Takvimi Veri Girişi'!$B$4:$AC$146,21,FALSE),"")</f>
        <v/>
      </c>
      <c r="AK136" s="146" t="str">
        <f>IF(VLOOKUP($B136,'Satınalma Takvimi Veri Girişi'!$B$4:$AC$146,22,FALSE)&lt;&gt;"",VLOOKUP($B136,'Satınalma Takvimi Veri Girişi'!$B$4:$AC$146,22,FALSE),"")</f>
        <v/>
      </c>
      <c r="AL136" s="147" t="str">
        <f>IF(VLOOKUP($B136,'Satınalma Takvimi Veri Girişi'!$B$4:$AC$146,23,FALSE)&lt;&gt;"",VLOOKUP($B136,'Satınalma Takvimi Veri Girişi'!$B$4:$AC$146,23,FALSE),"")</f>
        <v/>
      </c>
      <c r="AM136" s="147" t="str">
        <f>IF(VLOOKUP($B136,'Satınalma Takvimi Veri Girişi'!$B$4:$AC$146,24,FALSE)&lt;&gt;"",VLOOKUP($B136,'Satınalma Takvimi Veri Girişi'!$B$4:$AC$146,24,FALSE),"")</f>
        <v/>
      </c>
      <c r="AN136" s="147" t="str">
        <f>IF(VLOOKUP($B136,'Satınalma Takvimi Veri Girişi'!$B$4:$AC$146,25,FALSE)&lt;&gt;"",VLOOKUP($B136,'Satınalma Takvimi Veri Girişi'!$B$4:$AC$146,25,FALSE),"")</f>
        <v/>
      </c>
      <c r="AO136" s="147" t="str">
        <f>IF(VLOOKUP($B136,'Satınalma Takvimi Veri Girişi'!$B$4:$AC$146,26,FALSE)&lt;&gt;"",VLOOKUP($B136,'Satınalma Takvimi Veri Girişi'!$B$4:$AC$146,26,FALSE),"")</f>
        <v/>
      </c>
      <c r="AP136" s="147" t="str">
        <f>IF(VLOOKUP($B136,'Satınalma Takvimi Veri Girişi'!$B$4:$AC$146,27,FALSE)&lt;&gt;"",VLOOKUP($B136,'Satınalma Takvimi Veri Girişi'!$B$4:$AC$146,27,FALSE),"")</f>
        <v/>
      </c>
      <c r="AQ136" s="148" t="str">
        <f>IF(VLOOKUP($B136,'Satınalma Takvimi Veri Girişi'!$B$4:$AC$146,28,FALSE)&lt;&gt;"",VLOOKUP($B136,'Satınalma Takvimi Veri Girişi'!$B$4:$AC$146,28,FALSE),"")</f>
        <v/>
      </c>
    </row>
    <row r="137" spans="2:43" ht="19.8" customHeight="1" x14ac:dyDescent="0.3">
      <c r="B137" s="64" t="str">
        <f>Şablon!E136</f>
        <v>IHL.3028.131/1</v>
      </c>
      <c r="C137" s="139" t="str">
        <f>VLOOKUP($B137,Şablon!$E$3:$Q$255,2,FALSE)</f>
        <v>33.01.00 JENERATÖR İŞLERİ</v>
      </c>
      <c r="D137" s="161" t="str">
        <f>IF(VLOOKUP($B137,'Satınalma Takvimi Veri Girişi'!$B$4:$AC$146,3,FALSE)&lt;&gt;"",VLOOKUP($B137,'Satınalma Takvimi Veri Girişi'!$B$4:$AC$146,3,FALSE),"")</f>
        <v/>
      </c>
      <c r="E137" s="139" t="str">
        <f>VLOOKUP($B137,Şablon!$E$3:$Q$255,3,FALSE)</f>
        <v>B KATEGORİ</v>
      </c>
      <c r="F137" s="140" t="str">
        <f>VLOOKUP($B137,Şablon!$E$3:$Q$255,4,FALSE)</f>
        <v>ELK</v>
      </c>
      <c r="G137" s="141">
        <f>VLOOKUP($B137,Şablon!$E$3:$Q$255,5,FALSE)</f>
        <v>0</v>
      </c>
      <c r="H137" s="142" t="str">
        <f t="shared" si="28"/>
        <v/>
      </c>
      <c r="I137" s="143" t="str">
        <f t="shared" si="29"/>
        <v/>
      </c>
      <c r="J137" s="144" t="str">
        <f>IF(VLOOKUP($B137,'Satınalma Takvimi Veri Girişi'!$B$4:$AC$146,7,FALSE)&lt;&gt;"",VLOOKUP($B137,'Satınalma Takvimi Veri Girişi'!$B$4:$AC$146,7,FALSE),"")</f>
        <v/>
      </c>
      <c r="K137" s="141">
        <f>VLOOKUP($B137,Şablon!$E$3:$Q$255,6,FALSE)</f>
        <v>14</v>
      </c>
      <c r="L137" s="142" t="str">
        <f t="shared" si="30"/>
        <v/>
      </c>
      <c r="M137" s="143" t="str">
        <f t="shared" si="31"/>
        <v/>
      </c>
      <c r="N137" s="144" t="str">
        <f>IF(VLOOKUP($B137,'Satınalma Takvimi Veri Girişi'!$B$4:$AC$146,9,FALSE)&lt;&gt;"",VLOOKUP($B137,'Satınalma Takvimi Veri Girişi'!$B$4:$AC$146,9,FALSE),"")</f>
        <v/>
      </c>
      <c r="O137" s="141">
        <f>VLOOKUP($B137,Şablon!$E$3:$Q$255,7,FALSE)</f>
        <v>7</v>
      </c>
      <c r="P137" s="142" t="str">
        <f t="shared" si="32"/>
        <v/>
      </c>
      <c r="Q137" s="143" t="str">
        <f t="shared" si="33"/>
        <v/>
      </c>
      <c r="R137" s="144" t="str">
        <f>IF(VLOOKUP($B137,'Satınalma Takvimi Veri Girişi'!$B$4:$AC$146,11,FALSE)&lt;&gt;"",VLOOKUP($B137,'Satınalma Takvimi Veri Girişi'!$B$4:$AC$146,11,FALSE),"")</f>
        <v/>
      </c>
      <c r="S137" s="141">
        <f>VLOOKUP($B137,Şablon!$E$3:$Q$255,8,FALSE)</f>
        <v>14</v>
      </c>
      <c r="T137" s="142" t="str">
        <f t="shared" si="34"/>
        <v/>
      </c>
      <c r="U137" s="143" t="str">
        <f t="shared" si="35"/>
        <v/>
      </c>
      <c r="V137" s="144" t="str">
        <f>IF(VLOOKUP($B137,'Satınalma Takvimi Veri Girişi'!$B$4:$AC$146,13,FALSE)&lt;&gt;"",VLOOKUP($B137,'Satınalma Takvimi Veri Girişi'!$B$4:$AC$146,13,FALSE),"")</f>
        <v/>
      </c>
      <c r="W137" s="141">
        <f>VLOOKUP($B137,Şablon!$E$3:$Q$255,9,FALSE)</f>
        <v>7</v>
      </c>
      <c r="X137" s="142" t="str">
        <f t="shared" si="36"/>
        <v/>
      </c>
      <c r="Y137" s="143" t="str">
        <f t="shared" si="37"/>
        <v/>
      </c>
      <c r="Z137" s="144" t="str">
        <f>IF(VLOOKUP($B137,'Satınalma Takvimi Veri Girişi'!$B$4:$AC$146,15,FALSE)&lt;&gt;"",VLOOKUP($B137,'Satınalma Takvimi Veri Girişi'!$B$4:$AC$146,15,FALSE),"")</f>
        <v/>
      </c>
      <c r="AA137" s="141">
        <f>VLOOKUP($B137,Şablon!$E$3:$Q$255,10,FALSE)</f>
        <v>7</v>
      </c>
      <c r="AB137" s="142" t="str">
        <f t="shared" si="38"/>
        <v/>
      </c>
      <c r="AC137" s="143" t="str">
        <f t="shared" si="39"/>
        <v/>
      </c>
      <c r="AD137" s="144" t="str">
        <f>IF(VLOOKUP($B137,'Satınalma Takvimi Veri Girişi'!$B$4:$AC$146,17,FALSE)&lt;&gt;"",VLOOKUP($B137,'Satınalma Takvimi Veri Girişi'!$B$4:$AC$146,17,FALSE),"")</f>
        <v/>
      </c>
      <c r="AE137" s="141">
        <f>(VLOOKUP($B137,Şablon!$E$3:$Q$255,11,FALSE)+VLOOKUP($B137,Şablon!$E$3:$Q$255,12,FALSE))</f>
        <v>70</v>
      </c>
      <c r="AF137" s="142" t="str">
        <f t="shared" si="40"/>
        <v/>
      </c>
      <c r="AG137" s="143" t="str">
        <f t="shared" si="41"/>
        <v/>
      </c>
      <c r="AH137" s="144" t="str">
        <f>IF(VLOOKUP($B137,'Satınalma Takvimi Veri Girişi'!$B$4:$AC$146,19,FALSE)&lt;&gt;"",VLOOKUP($B137,'Satınalma Takvimi Veri Girişi'!$B$4:$AC$146,19,FALSE),"")</f>
        <v/>
      </c>
      <c r="AI137" s="145" t="str">
        <f>IF(VLOOKUP($B137,'Satınalma Takvimi Veri Girişi'!$B$4:$AC$146,20,FALSE)&lt;&gt;"",VLOOKUP($B137,'Satınalma Takvimi Veri Girişi'!$B$4:$AC$146,20,FALSE),"")</f>
        <v/>
      </c>
      <c r="AJ137" s="144" t="str">
        <f>IF(VLOOKUP($B137,'Satınalma Takvimi Veri Girişi'!$B$4:$AC$146,21,FALSE)&lt;&gt;"",VLOOKUP($B137,'Satınalma Takvimi Veri Girişi'!$B$4:$AC$146,21,FALSE),"")</f>
        <v/>
      </c>
      <c r="AK137" s="146" t="str">
        <f>IF(VLOOKUP($B137,'Satınalma Takvimi Veri Girişi'!$B$4:$AC$146,22,FALSE)&lt;&gt;"",VLOOKUP($B137,'Satınalma Takvimi Veri Girişi'!$B$4:$AC$146,22,FALSE),"")</f>
        <v/>
      </c>
      <c r="AL137" s="147" t="str">
        <f>IF(VLOOKUP($B137,'Satınalma Takvimi Veri Girişi'!$B$4:$AC$146,23,FALSE)&lt;&gt;"",VLOOKUP($B137,'Satınalma Takvimi Veri Girişi'!$B$4:$AC$146,23,FALSE),"")</f>
        <v/>
      </c>
      <c r="AM137" s="147" t="str">
        <f>IF(VLOOKUP($B137,'Satınalma Takvimi Veri Girişi'!$B$4:$AC$146,24,FALSE)&lt;&gt;"",VLOOKUP($B137,'Satınalma Takvimi Veri Girişi'!$B$4:$AC$146,24,FALSE),"")</f>
        <v/>
      </c>
      <c r="AN137" s="147" t="str">
        <f>IF(VLOOKUP($B137,'Satınalma Takvimi Veri Girişi'!$B$4:$AC$146,25,FALSE)&lt;&gt;"",VLOOKUP($B137,'Satınalma Takvimi Veri Girişi'!$B$4:$AC$146,25,FALSE),"")</f>
        <v/>
      </c>
      <c r="AO137" s="147" t="str">
        <f>IF(VLOOKUP($B137,'Satınalma Takvimi Veri Girişi'!$B$4:$AC$146,26,FALSE)&lt;&gt;"",VLOOKUP($B137,'Satınalma Takvimi Veri Girişi'!$B$4:$AC$146,26,FALSE),"")</f>
        <v/>
      </c>
      <c r="AP137" s="147" t="str">
        <f>IF(VLOOKUP($B137,'Satınalma Takvimi Veri Girişi'!$B$4:$AC$146,27,FALSE)&lt;&gt;"",VLOOKUP($B137,'Satınalma Takvimi Veri Girişi'!$B$4:$AC$146,27,FALSE),"")</f>
        <v/>
      </c>
      <c r="AQ137" s="148" t="str">
        <f>IF(VLOOKUP($B137,'Satınalma Takvimi Veri Girişi'!$B$4:$AC$146,28,FALSE)&lt;&gt;"",VLOOKUP($B137,'Satınalma Takvimi Veri Girişi'!$B$4:$AC$146,28,FALSE),"")</f>
        <v/>
      </c>
    </row>
    <row r="138" spans="2:43" ht="19.8" customHeight="1" x14ac:dyDescent="0.3">
      <c r="B138" s="64" t="str">
        <f>Şablon!E137</f>
        <v>IHL.3028.132/1</v>
      </c>
      <c r="C138" s="139" t="str">
        <f>VLOOKUP($B138,Şablon!$E$3:$Q$255,2,FALSE)</f>
        <v>33.01.01 (M) AYDINLATMA ARMATÜR</v>
      </c>
      <c r="D138" s="161" t="str">
        <f>IF(VLOOKUP($B138,'Satınalma Takvimi Veri Girişi'!$B$4:$AC$146,3,FALSE)&lt;&gt;"",VLOOKUP($B138,'Satınalma Takvimi Veri Girişi'!$B$4:$AC$146,3,FALSE),"")</f>
        <v/>
      </c>
      <c r="E138" s="139" t="str">
        <f>VLOOKUP($B138,Şablon!$E$3:$Q$255,3,FALSE)</f>
        <v>B KATEGORİ</v>
      </c>
      <c r="F138" s="140" t="str">
        <f>VLOOKUP($B138,Şablon!$E$3:$Q$255,4,FALSE)</f>
        <v>ELK</v>
      </c>
      <c r="G138" s="141">
        <f>VLOOKUP($B138,Şablon!$E$3:$Q$255,5,FALSE)</f>
        <v>0</v>
      </c>
      <c r="H138" s="142" t="str">
        <f t="shared" si="28"/>
        <v/>
      </c>
      <c r="I138" s="143" t="str">
        <f t="shared" si="29"/>
        <v/>
      </c>
      <c r="J138" s="144" t="str">
        <f>IF(VLOOKUP($B138,'Satınalma Takvimi Veri Girişi'!$B$4:$AC$146,7,FALSE)&lt;&gt;"",VLOOKUP($B138,'Satınalma Takvimi Veri Girişi'!$B$4:$AC$146,7,FALSE),"")</f>
        <v/>
      </c>
      <c r="K138" s="141">
        <f>VLOOKUP($B138,Şablon!$E$3:$Q$255,6,FALSE)</f>
        <v>14</v>
      </c>
      <c r="L138" s="142" t="str">
        <f t="shared" si="30"/>
        <v/>
      </c>
      <c r="M138" s="143" t="str">
        <f t="shared" si="31"/>
        <v/>
      </c>
      <c r="N138" s="144" t="str">
        <f>IF(VLOOKUP($B138,'Satınalma Takvimi Veri Girişi'!$B$4:$AC$146,9,FALSE)&lt;&gt;"",VLOOKUP($B138,'Satınalma Takvimi Veri Girişi'!$B$4:$AC$146,9,FALSE),"")</f>
        <v/>
      </c>
      <c r="O138" s="141">
        <f>VLOOKUP($B138,Şablon!$E$3:$Q$255,7,FALSE)</f>
        <v>14</v>
      </c>
      <c r="P138" s="142" t="str">
        <f t="shared" si="32"/>
        <v/>
      </c>
      <c r="Q138" s="143" t="str">
        <f t="shared" si="33"/>
        <v/>
      </c>
      <c r="R138" s="144" t="str">
        <f>IF(VLOOKUP($B138,'Satınalma Takvimi Veri Girişi'!$B$4:$AC$146,11,FALSE)&lt;&gt;"",VLOOKUP($B138,'Satınalma Takvimi Veri Girişi'!$B$4:$AC$146,11,FALSE),"")</f>
        <v/>
      </c>
      <c r="S138" s="141">
        <f>VLOOKUP($B138,Şablon!$E$3:$Q$255,8,FALSE)</f>
        <v>14</v>
      </c>
      <c r="T138" s="142" t="str">
        <f t="shared" si="34"/>
        <v/>
      </c>
      <c r="U138" s="143" t="str">
        <f t="shared" si="35"/>
        <v/>
      </c>
      <c r="V138" s="144" t="str">
        <f>IF(VLOOKUP($B138,'Satınalma Takvimi Veri Girişi'!$B$4:$AC$146,13,FALSE)&lt;&gt;"",VLOOKUP($B138,'Satınalma Takvimi Veri Girişi'!$B$4:$AC$146,13,FALSE),"")</f>
        <v/>
      </c>
      <c r="W138" s="141">
        <f>VLOOKUP($B138,Şablon!$E$3:$Q$255,9,FALSE)</f>
        <v>7</v>
      </c>
      <c r="X138" s="142" t="str">
        <f t="shared" si="36"/>
        <v/>
      </c>
      <c r="Y138" s="143" t="str">
        <f t="shared" si="37"/>
        <v/>
      </c>
      <c r="Z138" s="144" t="str">
        <f>IF(VLOOKUP($B138,'Satınalma Takvimi Veri Girişi'!$B$4:$AC$146,15,FALSE)&lt;&gt;"",VLOOKUP($B138,'Satınalma Takvimi Veri Girişi'!$B$4:$AC$146,15,FALSE),"")</f>
        <v/>
      </c>
      <c r="AA138" s="141">
        <f>VLOOKUP($B138,Şablon!$E$3:$Q$255,10,FALSE)</f>
        <v>7</v>
      </c>
      <c r="AB138" s="142" t="str">
        <f t="shared" si="38"/>
        <v/>
      </c>
      <c r="AC138" s="143" t="str">
        <f t="shared" si="39"/>
        <v/>
      </c>
      <c r="AD138" s="144" t="str">
        <f>IF(VLOOKUP($B138,'Satınalma Takvimi Veri Girişi'!$B$4:$AC$146,17,FALSE)&lt;&gt;"",VLOOKUP($B138,'Satınalma Takvimi Veri Girişi'!$B$4:$AC$146,17,FALSE),"")</f>
        <v/>
      </c>
      <c r="AE138" s="141">
        <f>(VLOOKUP($B138,Şablon!$E$3:$Q$255,11,FALSE)+VLOOKUP($B138,Şablon!$E$3:$Q$255,12,FALSE))</f>
        <v>42</v>
      </c>
      <c r="AF138" s="142" t="str">
        <f t="shared" si="40"/>
        <v/>
      </c>
      <c r="AG138" s="143" t="str">
        <f t="shared" si="41"/>
        <v/>
      </c>
      <c r="AH138" s="144" t="str">
        <f>IF(VLOOKUP($B138,'Satınalma Takvimi Veri Girişi'!$B$4:$AC$146,19,FALSE)&lt;&gt;"",VLOOKUP($B138,'Satınalma Takvimi Veri Girişi'!$B$4:$AC$146,19,FALSE),"")</f>
        <v/>
      </c>
      <c r="AI138" s="145" t="str">
        <f>IF(VLOOKUP($B138,'Satınalma Takvimi Veri Girişi'!$B$4:$AC$146,20,FALSE)&lt;&gt;"",VLOOKUP($B138,'Satınalma Takvimi Veri Girişi'!$B$4:$AC$146,20,FALSE),"")</f>
        <v/>
      </c>
      <c r="AJ138" s="144" t="str">
        <f>IF(VLOOKUP($B138,'Satınalma Takvimi Veri Girişi'!$B$4:$AC$146,21,FALSE)&lt;&gt;"",VLOOKUP($B138,'Satınalma Takvimi Veri Girişi'!$B$4:$AC$146,21,FALSE),"")</f>
        <v/>
      </c>
      <c r="AK138" s="146" t="str">
        <f>IF(VLOOKUP($B138,'Satınalma Takvimi Veri Girişi'!$B$4:$AC$146,22,FALSE)&lt;&gt;"",VLOOKUP($B138,'Satınalma Takvimi Veri Girişi'!$B$4:$AC$146,22,FALSE),"")</f>
        <v/>
      </c>
      <c r="AL138" s="147" t="str">
        <f>IF(VLOOKUP($B138,'Satınalma Takvimi Veri Girişi'!$B$4:$AC$146,23,FALSE)&lt;&gt;"",VLOOKUP($B138,'Satınalma Takvimi Veri Girişi'!$B$4:$AC$146,23,FALSE),"")</f>
        <v/>
      </c>
      <c r="AM138" s="147" t="str">
        <f>IF(VLOOKUP($B138,'Satınalma Takvimi Veri Girişi'!$B$4:$AC$146,24,FALSE)&lt;&gt;"",VLOOKUP($B138,'Satınalma Takvimi Veri Girişi'!$B$4:$AC$146,24,FALSE),"")</f>
        <v/>
      </c>
      <c r="AN138" s="147" t="str">
        <f>IF(VLOOKUP($B138,'Satınalma Takvimi Veri Girişi'!$B$4:$AC$146,25,FALSE)&lt;&gt;"",VLOOKUP($B138,'Satınalma Takvimi Veri Girişi'!$B$4:$AC$146,25,FALSE),"")</f>
        <v/>
      </c>
      <c r="AO138" s="147" t="str">
        <f>IF(VLOOKUP($B138,'Satınalma Takvimi Veri Girişi'!$B$4:$AC$146,26,FALSE)&lt;&gt;"",VLOOKUP($B138,'Satınalma Takvimi Veri Girişi'!$B$4:$AC$146,26,FALSE),"")</f>
        <v/>
      </c>
      <c r="AP138" s="147" t="str">
        <f>IF(VLOOKUP($B138,'Satınalma Takvimi Veri Girişi'!$B$4:$AC$146,27,FALSE)&lt;&gt;"",VLOOKUP($B138,'Satınalma Takvimi Veri Girişi'!$B$4:$AC$146,27,FALSE),"")</f>
        <v/>
      </c>
      <c r="AQ138" s="148" t="str">
        <f>IF(VLOOKUP($B138,'Satınalma Takvimi Veri Girişi'!$B$4:$AC$146,28,FALSE)&lt;&gt;"",VLOOKUP($B138,'Satınalma Takvimi Veri Girişi'!$B$4:$AC$146,28,FALSE),"")</f>
        <v/>
      </c>
    </row>
    <row r="139" spans="2:43" ht="19.8" customHeight="1" x14ac:dyDescent="0.3">
      <c r="B139" s="64" t="str">
        <f>Şablon!E138</f>
        <v>IHL.3028.133/1</v>
      </c>
      <c r="C139" s="139" t="str">
        <f>VLOOKUP($B139,Şablon!$E$3:$Q$255,2,FALSE)</f>
        <v>33.01.02 (M) CEPHE AYDINLATMA</v>
      </c>
      <c r="D139" s="161" t="str">
        <f>IF(VLOOKUP($B139,'Satınalma Takvimi Veri Girişi'!$B$4:$AC$146,3,FALSE)&lt;&gt;"",VLOOKUP($B139,'Satınalma Takvimi Veri Girişi'!$B$4:$AC$146,3,FALSE),"")</f>
        <v/>
      </c>
      <c r="E139" s="139" t="str">
        <f>VLOOKUP($B139,Şablon!$E$3:$Q$255,3,FALSE)</f>
        <v>B KATEGORİ</v>
      </c>
      <c r="F139" s="140" t="str">
        <f>VLOOKUP($B139,Şablon!$E$3:$Q$255,4,FALSE)</f>
        <v>ELK</v>
      </c>
      <c r="G139" s="141">
        <f>VLOOKUP($B139,Şablon!$E$3:$Q$255,5,FALSE)</f>
        <v>0</v>
      </c>
      <c r="H139" s="142" t="str">
        <f t="shared" si="28"/>
        <v/>
      </c>
      <c r="I139" s="143" t="str">
        <f t="shared" si="29"/>
        <v/>
      </c>
      <c r="J139" s="144" t="str">
        <f>IF(VLOOKUP($B139,'Satınalma Takvimi Veri Girişi'!$B$4:$AC$146,7,FALSE)&lt;&gt;"",VLOOKUP($B139,'Satınalma Takvimi Veri Girişi'!$B$4:$AC$146,7,FALSE),"")</f>
        <v/>
      </c>
      <c r="K139" s="141">
        <f>VLOOKUP($B139,Şablon!$E$3:$Q$255,6,FALSE)</f>
        <v>14</v>
      </c>
      <c r="L139" s="142" t="str">
        <f t="shared" si="30"/>
        <v/>
      </c>
      <c r="M139" s="143" t="str">
        <f t="shared" si="31"/>
        <v/>
      </c>
      <c r="N139" s="144" t="str">
        <f>IF(VLOOKUP($B139,'Satınalma Takvimi Veri Girişi'!$B$4:$AC$146,9,FALSE)&lt;&gt;"",VLOOKUP($B139,'Satınalma Takvimi Veri Girişi'!$B$4:$AC$146,9,FALSE),"")</f>
        <v/>
      </c>
      <c r="O139" s="141">
        <f>VLOOKUP($B139,Şablon!$E$3:$Q$255,7,FALSE)</f>
        <v>14</v>
      </c>
      <c r="P139" s="142" t="str">
        <f t="shared" si="32"/>
        <v/>
      </c>
      <c r="Q139" s="143" t="str">
        <f t="shared" si="33"/>
        <v/>
      </c>
      <c r="R139" s="144" t="str">
        <f>IF(VLOOKUP($B139,'Satınalma Takvimi Veri Girişi'!$B$4:$AC$146,11,FALSE)&lt;&gt;"",VLOOKUP($B139,'Satınalma Takvimi Veri Girişi'!$B$4:$AC$146,11,FALSE),"")</f>
        <v/>
      </c>
      <c r="S139" s="141">
        <f>VLOOKUP($B139,Şablon!$E$3:$Q$255,8,FALSE)</f>
        <v>14</v>
      </c>
      <c r="T139" s="142" t="str">
        <f t="shared" si="34"/>
        <v/>
      </c>
      <c r="U139" s="143" t="str">
        <f t="shared" si="35"/>
        <v/>
      </c>
      <c r="V139" s="144" t="str">
        <f>IF(VLOOKUP($B139,'Satınalma Takvimi Veri Girişi'!$B$4:$AC$146,13,FALSE)&lt;&gt;"",VLOOKUP($B139,'Satınalma Takvimi Veri Girişi'!$B$4:$AC$146,13,FALSE),"")</f>
        <v/>
      </c>
      <c r="W139" s="141">
        <f>VLOOKUP($B139,Şablon!$E$3:$Q$255,9,FALSE)</f>
        <v>7</v>
      </c>
      <c r="X139" s="142" t="str">
        <f t="shared" si="36"/>
        <v/>
      </c>
      <c r="Y139" s="143" t="str">
        <f t="shared" si="37"/>
        <v/>
      </c>
      <c r="Z139" s="144" t="str">
        <f>IF(VLOOKUP($B139,'Satınalma Takvimi Veri Girişi'!$B$4:$AC$146,15,FALSE)&lt;&gt;"",VLOOKUP($B139,'Satınalma Takvimi Veri Girişi'!$B$4:$AC$146,15,FALSE),"")</f>
        <v/>
      </c>
      <c r="AA139" s="141">
        <f>VLOOKUP($B139,Şablon!$E$3:$Q$255,10,FALSE)</f>
        <v>7</v>
      </c>
      <c r="AB139" s="142" t="str">
        <f t="shared" si="38"/>
        <v/>
      </c>
      <c r="AC139" s="143" t="str">
        <f t="shared" si="39"/>
        <v/>
      </c>
      <c r="AD139" s="144" t="str">
        <f>IF(VLOOKUP($B139,'Satınalma Takvimi Veri Girişi'!$B$4:$AC$146,17,FALSE)&lt;&gt;"",VLOOKUP($B139,'Satınalma Takvimi Veri Girişi'!$B$4:$AC$146,17,FALSE),"")</f>
        <v/>
      </c>
      <c r="AE139" s="141">
        <f>(VLOOKUP($B139,Şablon!$E$3:$Q$255,11,FALSE)+VLOOKUP($B139,Şablon!$E$3:$Q$255,12,FALSE))</f>
        <v>84</v>
      </c>
      <c r="AF139" s="142" t="str">
        <f t="shared" si="40"/>
        <v/>
      </c>
      <c r="AG139" s="143" t="str">
        <f t="shared" si="41"/>
        <v/>
      </c>
      <c r="AH139" s="144" t="str">
        <f>IF(VLOOKUP($B139,'Satınalma Takvimi Veri Girişi'!$B$4:$AC$146,19,FALSE)&lt;&gt;"",VLOOKUP($B139,'Satınalma Takvimi Veri Girişi'!$B$4:$AC$146,19,FALSE),"")</f>
        <v/>
      </c>
      <c r="AI139" s="145" t="str">
        <f>IF(VLOOKUP($B139,'Satınalma Takvimi Veri Girişi'!$B$4:$AC$146,20,FALSE)&lt;&gt;"",VLOOKUP($B139,'Satınalma Takvimi Veri Girişi'!$B$4:$AC$146,20,FALSE),"")</f>
        <v/>
      </c>
      <c r="AJ139" s="144" t="str">
        <f>IF(VLOOKUP($B139,'Satınalma Takvimi Veri Girişi'!$B$4:$AC$146,21,FALSE)&lt;&gt;"",VLOOKUP($B139,'Satınalma Takvimi Veri Girişi'!$B$4:$AC$146,21,FALSE),"")</f>
        <v/>
      </c>
      <c r="AK139" s="146" t="str">
        <f>IF(VLOOKUP($B139,'Satınalma Takvimi Veri Girişi'!$B$4:$AC$146,22,FALSE)&lt;&gt;"",VLOOKUP($B139,'Satınalma Takvimi Veri Girişi'!$B$4:$AC$146,22,FALSE),"")</f>
        <v/>
      </c>
      <c r="AL139" s="147" t="str">
        <f>IF(VLOOKUP($B139,'Satınalma Takvimi Veri Girişi'!$B$4:$AC$146,23,FALSE)&lt;&gt;"",VLOOKUP($B139,'Satınalma Takvimi Veri Girişi'!$B$4:$AC$146,23,FALSE),"")</f>
        <v/>
      </c>
      <c r="AM139" s="147" t="str">
        <f>IF(VLOOKUP($B139,'Satınalma Takvimi Veri Girişi'!$B$4:$AC$146,24,FALSE)&lt;&gt;"",VLOOKUP($B139,'Satınalma Takvimi Veri Girişi'!$B$4:$AC$146,24,FALSE),"")</f>
        <v/>
      </c>
      <c r="AN139" s="147" t="str">
        <f>IF(VLOOKUP($B139,'Satınalma Takvimi Veri Girişi'!$B$4:$AC$146,25,FALSE)&lt;&gt;"",VLOOKUP($B139,'Satınalma Takvimi Veri Girişi'!$B$4:$AC$146,25,FALSE),"")</f>
        <v/>
      </c>
      <c r="AO139" s="147" t="str">
        <f>IF(VLOOKUP($B139,'Satınalma Takvimi Veri Girişi'!$B$4:$AC$146,26,FALSE)&lt;&gt;"",VLOOKUP($B139,'Satınalma Takvimi Veri Girişi'!$B$4:$AC$146,26,FALSE),"")</f>
        <v/>
      </c>
      <c r="AP139" s="147" t="str">
        <f>IF(VLOOKUP($B139,'Satınalma Takvimi Veri Girişi'!$B$4:$AC$146,27,FALSE)&lt;&gt;"",VLOOKUP($B139,'Satınalma Takvimi Veri Girişi'!$B$4:$AC$146,27,FALSE),"")</f>
        <v/>
      </c>
      <c r="AQ139" s="148" t="str">
        <f>IF(VLOOKUP($B139,'Satınalma Takvimi Veri Girişi'!$B$4:$AC$146,28,FALSE)&lt;&gt;"",VLOOKUP($B139,'Satınalma Takvimi Veri Girişi'!$B$4:$AC$146,28,FALSE),"")</f>
        <v/>
      </c>
    </row>
    <row r="140" spans="2:43" ht="19.8" customHeight="1" x14ac:dyDescent="0.3">
      <c r="B140" s="64" t="str">
        <f>Şablon!E139</f>
        <v>IHL.3028.134/1</v>
      </c>
      <c r="C140" s="139" t="str">
        <f>VLOOKUP($B140,Şablon!$E$3:$Q$255,2,FALSE)</f>
        <v>33.01.03 (M) ÇEVRE AYDINLATMA</v>
      </c>
      <c r="D140" s="161" t="str">
        <f>IF(VLOOKUP($B140,'Satınalma Takvimi Veri Girişi'!$B$4:$AC$146,3,FALSE)&lt;&gt;"",VLOOKUP($B140,'Satınalma Takvimi Veri Girişi'!$B$4:$AC$146,3,FALSE),"")</f>
        <v/>
      </c>
      <c r="E140" s="139" t="str">
        <f>VLOOKUP($B140,Şablon!$E$3:$Q$255,3,FALSE)</f>
        <v>B KATEGORİ</v>
      </c>
      <c r="F140" s="140" t="str">
        <f>VLOOKUP($B140,Şablon!$E$3:$Q$255,4,FALSE)</f>
        <v>ELK</v>
      </c>
      <c r="G140" s="141">
        <f>VLOOKUP($B140,Şablon!$E$3:$Q$255,5,FALSE)</f>
        <v>0</v>
      </c>
      <c r="H140" s="142" t="str">
        <f t="shared" si="28"/>
        <v/>
      </c>
      <c r="I140" s="143" t="str">
        <f t="shared" si="29"/>
        <v/>
      </c>
      <c r="J140" s="144" t="str">
        <f>IF(VLOOKUP($B140,'Satınalma Takvimi Veri Girişi'!$B$4:$AC$146,7,FALSE)&lt;&gt;"",VLOOKUP($B140,'Satınalma Takvimi Veri Girişi'!$B$4:$AC$146,7,FALSE),"")</f>
        <v/>
      </c>
      <c r="K140" s="141">
        <f>VLOOKUP($B140,Şablon!$E$3:$Q$255,6,FALSE)</f>
        <v>14</v>
      </c>
      <c r="L140" s="142" t="str">
        <f t="shared" si="30"/>
        <v/>
      </c>
      <c r="M140" s="143" t="str">
        <f t="shared" si="31"/>
        <v/>
      </c>
      <c r="N140" s="144" t="str">
        <f>IF(VLOOKUP($B140,'Satınalma Takvimi Veri Girişi'!$B$4:$AC$146,9,FALSE)&lt;&gt;"",VLOOKUP($B140,'Satınalma Takvimi Veri Girişi'!$B$4:$AC$146,9,FALSE),"")</f>
        <v/>
      </c>
      <c r="O140" s="141">
        <f>VLOOKUP($B140,Şablon!$E$3:$Q$255,7,FALSE)</f>
        <v>14</v>
      </c>
      <c r="P140" s="142" t="str">
        <f t="shared" si="32"/>
        <v/>
      </c>
      <c r="Q140" s="143" t="str">
        <f t="shared" si="33"/>
        <v/>
      </c>
      <c r="R140" s="144" t="str">
        <f>IF(VLOOKUP($B140,'Satınalma Takvimi Veri Girişi'!$B$4:$AC$146,11,FALSE)&lt;&gt;"",VLOOKUP($B140,'Satınalma Takvimi Veri Girişi'!$B$4:$AC$146,11,FALSE),"")</f>
        <v/>
      </c>
      <c r="S140" s="141">
        <f>VLOOKUP($B140,Şablon!$E$3:$Q$255,8,FALSE)</f>
        <v>14</v>
      </c>
      <c r="T140" s="142" t="str">
        <f t="shared" si="34"/>
        <v/>
      </c>
      <c r="U140" s="143" t="str">
        <f t="shared" si="35"/>
        <v/>
      </c>
      <c r="V140" s="144" t="str">
        <f>IF(VLOOKUP($B140,'Satınalma Takvimi Veri Girişi'!$B$4:$AC$146,13,FALSE)&lt;&gt;"",VLOOKUP($B140,'Satınalma Takvimi Veri Girişi'!$B$4:$AC$146,13,FALSE),"")</f>
        <v/>
      </c>
      <c r="W140" s="141">
        <f>VLOOKUP($B140,Şablon!$E$3:$Q$255,9,FALSE)</f>
        <v>7</v>
      </c>
      <c r="X140" s="142" t="str">
        <f t="shared" si="36"/>
        <v/>
      </c>
      <c r="Y140" s="143" t="str">
        <f t="shared" si="37"/>
        <v/>
      </c>
      <c r="Z140" s="144" t="str">
        <f>IF(VLOOKUP($B140,'Satınalma Takvimi Veri Girişi'!$B$4:$AC$146,15,FALSE)&lt;&gt;"",VLOOKUP($B140,'Satınalma Takvimi Veri Girişi'!$B$4:$AC$146,15,FALSE),"")</f>
        <v/>
      </c>
      <c r="AA140" s="141">
        <f>VLOOKUP($B140,Şablon!$E$3:$Q$255,10,FALSE)</f>
        <v>7</v>
      </c>
      <c r="AB140" s="142" t="str">
        <f t="shared" si="38"/>
        <v/>
      </c>
      <c r="AC140" s="143" t="str">
        <f t="shared" si="39"/>
        <v/>
      </c>
      <c r="AD140" s="144" t="str">
        <f>IF(VLOOKUP($B140,'Satınalma Takvimi Veri Girişi'!$B$4:$AC$146,17,FALSE)&lt;&gt;"",VLOOKUP($B140,'Satınalma Takvimi Veri Girişi'!$B$4:$AC$146,17,FALSE),"")</f>
        <v/>
      </c>
      <c r="AE140" s="141">
        <f>(VLOOKUP($B140,Şablon!$E$3:$Q$255,11,FALSE)+VLOOKUP($B140,Şablon!$E$3:$Q$255,12,FALSE))</f>
        <v>42</v>
      </c>
      <c r="AF140" s="142" t="str">
        <f t="shared" si="40"/>
        <v/>
      </c>
      <c r="AG140" s="143" t="str">
        <f t="shared" si="41"/>
        <v/>
      </c>
      <c r="AH140" s="144" t="str">
        <f>IF(VLOOKUP($B140,'Satınalma Takvimi Veri Girişi'!$B$4:$AC$146,19,FALSE)&lt;&gt;"",VLOOKUP($B140,'Satınalma Takvimi Veri Girişi'!$B$4:$AC$146,19,FALSE),"")</f>
        <v/>
      </c>
      <c r="AI140" s="145" t="str">
        <f>IF(VLOOKUP($B140,'Satınalma Takvimi Veri Girişi'!$B$4:$AC$146,20,FALSE)&lt;&gt;"",VLOOKUP($B140,'Satınalma Takvimi Veri Girişi'!$B$4:$AC$146,20,FALSE),"")</f>
        <v/>
      </c>
      <c r="AJ140" s="144" t="str">
        <f>IF(VLOOKUP($B140,'Satınalma Takvimi Veri Girişi'!$B$4:$AC$146,21,FALSE)&lt;&gt;"",VLOOKUP($B140,'Satınalma Takvimi Veri Girişi'!$B$4:$AC$146,21,FALSE),"")</f>
        <v/>
      </c>
      <c r="AK140" s="146" t="str">
        <f>IF(VLOOKUP($B140,'Satınalma Takvimi Veri Girişi'!$B$4:$AC$146,22,FALSE)&lt;&gt;"",VLOOKUP($B140,'Satınalma Takvimi Veri Girişi'!$B$4:$AC$146,22,FALSE),"")</f>
        <v/>
      </c>
      <c r="AL140" s="147" t="str">
        <f>IF(VLOOKUP($B140,'Satınalma Takvimi Veri Girişi'!$B$4:$AC$146,23,FALSE)&lt;&gt;"",VLOOKUP($B140,'Satınalma Takvimi Veri Girişi'!$B$4:$AC$146,23,FALSE),"")</f>
        <v/>
      </c>
      <c r="AM140" s="147" t="str">
        <f>IF(VLOOKUP($B140,'Satınalma Takvimi Veri Girişi'!$B$4:$AC$146,24,FALSE)&lt;&gt;"",VLOOKUP($B140,'Satınalma Takvimi Veri Girişi'!$B$4:$AC$146,24,FALSE),"")</f>
        <v/>
      </c>
      <c r="AN140" s="147" t="str">
        <f>IF(VLOOKUP($B140,'Satınalma Takvimi Veri Girişi'!$B$4:$AC$146,25,FALSE)&lt;&gt;"",VLOOKUP($B140,'Satınalma Takvimi Veri Girişi'!$B$4:$AC$146,25,FALSE),"")</f>
        <v/>
      </c>
      <c r="AO140" s="147" t="str">
        <f>IF(VLOOKUP($B140,'Satınalma Takvimi Veri Girişi'!$B$4:$AC$146,26,FALSE)&lt;&gt;"",VLOOKUP($B140,'Satınalma Takvimi Veri Girişi'!$B$4:$AC$146,26,FALSE),"")</f>
        <v/>
      </c>
      <c r="AP140" s="147" t="str">
        <f>IF(VLOOKUP($B140,'Satınalma Takvimi Veri Girişi'!$B$4:$AC$146,27,FALSE)&lt;&gt;"",VLOOKUP($B140,'Satınalma Takvimi Veri Girişi'!$B$4:$AC$146,27,FALSE),"")</f>
        <v/>
      </c>
      <c r="AQ140" s="148" t="str">
        <f>IF(VLOOKUP($B140,'Satınalma Takvimi Veri Girişi'!$B$4:$AC$146,28,FALSE)&lt;&gt;"",VLOOKUP($B140,'Satınalma Takvimi Veri Girişi'!$B$4:$AC$146,28,FALSE),"")</f>
        <v/>
      </c>
    </row>
    <row r="141" spans="2:43" ht="19.8" customHeight="1" x14ac:dyDescent="0.3">
      <c r="B141" s="64" t="str">
        <f>Şablon!E140</f>
        <v>IHL.3028.135/1</v>
      </c>
      <c r="C141" s="139" t="str">
        <f>VLOOKUP($B141,Şablon!$E$3:$Q$255,2,FALSE)</f>
        <v>33.01.04 (M) ANAHTAR PRİZ</v>
      </c>
      <c r="D141" s="161" t="str">
        <f>IF(VLOOKUP($B141,'Satınalma Takvimi Veri Girişi'!$B$4:$AC$146,3,FALSE)&lt;&gt;"",VLOOKUP($B141,'Satınalma Takvimi Veri Girişi'!$B$4:$AC$146,3,FALSE),"")</f>
        <v/>
      </c>
      <c r="E141" s="139" t="str">
        <f>VLOOKUP($B141,Şablon!$E$3:$Q$255,3,FALSE)</f>
        <v>B KATEGORİ</v>
      </c>
      <c r="F141" s="140" t="str">
        <f>VLOOKUP($B141,Şablon!$E$3:$Q$255,4,FALSE)</f>
        <v>ELK</v>
      </c>
      <c r="G141" s="141">
        <f>VLOOKUP($B141,Şablon!$E$3:$Q$255,5,FALSE)</f>
        <v>0</v>
      </c>
      <c r="H141" s="142" t="str">
        <f t="shared" si="28"/>
        <v/>
      </c>
      <c r="I141" s="143" t="str">
        <f t="shared" si="29"/>
        <v/>
      </c>
      <c r="J141" s="144" t="str">
        <f>IF(VLOOKUP($B141,'Satınalma Takvimi Veri Girişi'!$B$4:$AC$146,7,FALSE)&lt;&gt;"",VLOOKUP($B141,'Satınalma Takvimi Veri Girişi'!$B$4:$AC$146,7,FALSE),"")</f>
        <v/>
      </c>
      <c r="K141" s="141">
        <f>VLOOKUP($B141,Şablon!$E$3:$Q$255,6,FALSE)</f>
        <v>14</v>
      </c>
      <c r="L141" s="142" t="str">
        <f t="shared" si="30"/>
        <v/>
      </c>
      <c r="M141" s="143" t="str">
        <f t="shared" si="31"/>
        <v/>
      </c>
      <c r="N141" s="144" t="str">
        <f>IF(VLOOKUP($B141,'Satınalma Takvimi Veri Girişi'!$B$4:$AC$146,9,FALSE)&lt;&gt;"",VLOOKUP($B141,'Satınalma Takvimi Veri Girişi'!$B$4:$AC$146,9,FALSE),"")</f>
        <v/>
      </c>
      <c r="O141" s="141">
        <f>VLOOKUP($B141,Şablon!$E$3:$Q$255,7,FALSE)</f>
        <v>14</v>
      </c>
      <c r="P141" s="142" t="str">
        <f t="shared" si="32"/>
        <v/>
      </c>
      <c r="Q141" s="143" t="str">
        <f t="shared" si="33"/>
        <v/>
      </c>
      <c r="R141" s="144" t="str">
        <f>IF(VLOOKUP($B141,'Satınalma Takvimi Veri Girişi'!$B$4:$AC$146,11,FALSE)&lt;&gt;"",VLOOKUP($B141,'Satınalma Takvimi Veri Girişi'!$B$4:$AC$146,11,FALSE),"")</f>
        <v/>
      </c>
      <c r="S141" s="141">
        <f>VLOOKUP($B141,Şablon!$E$3:$Q$255,8,FALSE)</f>
        <v>14</v>
      </c>
      <c r="T141" s="142" t="str">
        <f t="shared" si="34"/>
        <v/>
      </c>
      <c r="U141" s="143" t="str">
        <f t="shared" si="35"/>
        <v/>
      </c>
      <c r="V141" s="144" t="str">
        <f>IF(VLOOKUP($B141,'Satınalma Takvimi Veri Girişi'!$B$4:$AC$146,13,FALSE)&lt;&gt;"",VLOOKUP($B141,'Satınalma Takvimi Veri Girişi'!$B$4:$AC$146,13,FALSE),"")</f>
        <v/>
      </c>
      <c r="W141" s="141">
        <f>VLOOKUP($B141,Şablon!$E$3:$Q$255,9,FALSE)</f>
        <v>7</v>
      </c>
      <c r="X141" s="142" t="str">
        <f t="shared" si="36"/>
        <v/>
      </c>
      <c r="Y141" s="143" t="str">
        <f t="shared" si="37"/>
        <v/>
      </c>
      <c r="Z141" s="144" t="str">
        <f>IF(VLOOKUP($B141,'Satınalma Takvimi Veri Girişi'!$B$4:$AC$146,15,FALSE)&lt;&gt;"",VLOOKUP($B141,'Satınalma Takvimi Veri Girişi'!$B$4:$AC$146,15,FALSE),"")</f>
        <v/>
      </c>
      <c r="AA141" s="141">
        <f>VLOOKUP($B141,Şablon!$E$3:$Q$255,10,FALSE)</f>
        <v>7</v>
      </c>
      <c r="AB141" s="142" t="str">
        <f t="shared" si="38"/>
        <v/>
      </c>
      <c r="AC141" s="143" t="str">
        <f t="shared" si="39"/>
        <v/>
      </c>
      <c r="AD141" s="144" t="str">
        <f>IF(VLOOKUP($B141,'Satınalma Takvimi Veri Girişi'!$B$4:$AC$146,17,FALSE)&lt;&gt;"",VLOOKUP($B141,'Satınalma Takvimi Veri Girişi'!$B$4:$AC$146,17,FALSE),"")</f>
        <v/>
      </c>
      <c r="AE141" s="141">
        <f>(VLOOKUP($B141,Şablon!$E$3:$Q$255,11,FALSE)+VLOOKUP($B141,Şablon!$E$3:$Q$255,12,FALSE))</f>
        <v>42</v>
      </c>
      <c r="AF141" s="142" t="str">
        <f t="shared" si="40"/>
        <v/>
      </c>
      <c r="AG141" s="143" t="str">
        <f t="shared" si="41"/>
        <v/>
      </c>
      <c r="AH141" s="144" t="str">
        <f>IF(VLOOKUP($B141,'Satınalma Takvimi Veri Girişi'!$B$4:$AC$146,19,FALSE)&lt;&gt;"",VLOOKUP($B141,'Satınalma Takvimi Veri Girişi'!$B$4:$AC$146,19,FALSE),"")</f>
        <v/>
      </c>
      <c r="AI141" s="145" t="str">
        <f>IF(VLOOKUP($B141,'Satınalma Takvimi Veri Girişi'!$B$4:$AC$146,20,FALSE)&lt;&gt;"",VLOOKUP($B141,'Satınalma Takvimi Veri Girişi'!$B$4:$AC$146,20,FALSE),"")</f>
        <v/>
      </c>
      <c r="AJ141" s="144" t="str">
        <f>IF(VLOOKUP($B141,'Satınalma Takvimi Veri Girişi'!$B$4:$AC$146,21,FALSE)&lt;&gt;"",VLOOKUP($B141,'Satınalma Takvimi Veri Girişi'!$B$4:$AC$146,21,FALSE),"")</f>
        <v/>
      </c>
      <c r="AK141" s="146" t="str">
        <f>IF(VLOOKUP($B141,'Satınalma Takvimi Veri Girişi'!$B$4:$AC$146,22,FALSE)&lt;&gt;"",VLOOKUP($B141,'Satınalma Takvimi Veri Girişi'!$B$4:$AC$146,22,FALSE),"")</f>
        <v/>
      </c>
      <c r="AL141" s="147" t="str">
        <f>IF(VLOOKUP($B141,'Satınalma Takvimi Veri Girişi'!$B$4:$AC$146,23,FALSE)&lt;&gt;"",VLOOKUP($B141,'Satınalma Takvimi Veri Girişi'!$B$4:$AC$146,23,FALSE),"")</f>
        <v/>
      </c>
      <c r="AM141" s="147" t="str">
        <f>IF(VLOOKUP($B141,'Satınalma Takvimi Veri Girişi'!$B$4:$AC$146,24,FALSE)&lt;&gt;"",VLOOKUP($B141,'Satınalma Takvimi Veri Girişi'!$B$4:$AC$146,24,FALSE),"")</f>
        <v/>
      </c>
      <c r="AN141" s="147" t="str">
        <f>IF(VLOOKUP($B141,'Satınalma Takvimi Veri Girişi'!$B$4:$AC$146,25,FALSE)&lt;&gt;"",VLOOKUP($B141,'Satınalma Takvimi Veri Girişi'!$B$4:$AC$146,25,FALSE),"")</f>
        <v/>
      </c>
      <c r="AO141" s="147" t="str">
        <f>IF(VLOOKUP($B141,'Satınalma Takvimi Veri Girişi'!$B$4:$AC$146,26,FALSE)&lt;&gt;"",VLOOKUP($B141,'Satınalma Takvimi Veri Girişi'!$B$4:$AC$146,26,FALSE),"")</f>
        <v/>
      </c>
      <c r="AP141" s="147" t="str">
        <f>IF(VLOOKUP($B141,'Satınalma Takvimi Veri Girişi'!$B$4:$AC$146,27,FALSE)&lt;&gt;"",VLOOKUP($B141,'Satınalma Takvimi Veri Girişi'!$B$4:$AC$146,27,FALSE),"")</f>
        <v/>
      </c>
      <c r="AQ141" s="148" t="str">
        <f>IF(VLOOKUP($B141,'Satınalma Takvimi Veri Girişi'!$B$4:$AC$146,28,FALSE)&lt;&gt;"",VLOOKUP($B141,'Satınalma Takvimi Veri Girişi'!$B$4:$AC$146,28,FALSE),"")</f>
        <v/>
      </c>
    </row>
    <row r="142" spans="2:43" ht="19.8" customHeight="1" x14ac:dyDescent="0.3">
      <c r="B142" s="64" t="str">
        <f>Şablon!E141</f>
        <v>IHL.3028.136/1</v>
      </c>
      <c r="C142" s="139" t="str">
        <f>VLOOKUP($B142,Şablon!$E$3:$Q$255,2,FALSE)</f>
        <v>33.01.05 KNX OTOMASYON İŞLERİ</v>
      </c>
      <c r="D142" s="161" t="str">
        <f>IF(VLOOKUP($B142,'Satınalma Takvimi Veri Girişi'!$B$4:$AC$146,3,FALSE)&lt;&gt;"",VLOOKUP($B142,'Satınalma Takvimi Veri Girişi'!$B$4:$AC$146,3,FALSE),"")</f>
        <v/>
      </c>
      <c r="E142" s="139" t="str">
        <f>VLOOKUP($B142,Şablon!$E$3:$Q$255,3,FALSE)</f>
        <v>B KATEGORİ</v>
      </c>
      <c r="F142" s="140" t="str">
        <f>VLOOKUP($B142,Şablon!$E$3:$Q$255,4,FALSE)</f>
        <v>ELK</v>
      </c>
      <c r="G142" s="141">
        <f>VLOOKUP($B142,Şablon!$E$3:$Q$255,5,FALSE)</f>
        <v>0</v>
      </c>
      <c r="H142" s="142" t="str">
        <f t="shared" si="28"/>
        <v/>
      </c>
      <c r="I142" s="143" t="str">
        <f t="shared" si="29"/>
        <v/>
      </c>
      <c r="J142" s="144" t="str">
        <f>IF(VLOOKUP($B142,'Satınalma Takvimi Veri Girişi'!$B$4:$AC$146,7,FALSE)&lt;&gt;"",VLOOKUP($B142,'Satınalma Takvimi Veri Girişi'!$B$4:$AC$146,7,FALSE),"")</f>
        <v/>
      </c>
      <c r="K142" s="141">
        <f>VLOOKUP($B142,Şablon!$E$3:$Q$255,6,FALSE)</f>
        <v>14</v>
      </c>
      <c r="L142" s="142" t="str">
        <f t="shared" si="30"/>
        <v/>
      </c>
      <c r="M142" s="143" t="str">
        <f t="shared" si="31"/>
        <v/>
      </c>
      <c r="N142" s="144" t="str">
        <f>IF(VLOOKUP($B142,'Satınalma Takvimi Veri Girişi'!$B$4:$AC$146,9,FALSE)&lt;&gt;"",VLOOKUP($B142,'Satınalma Takvimi Veri Girişi'!$B$4:$AC$146,9,FALSE),"")</f>
        <v/>
      </c>
      <c r="O142" s="141">
        <f>VLOOKUP($B142,Şablon!$E$3:$Q$255,7,FALSE)</f>
        <v>14</v>
      </c>
      <c r="P142" s="142" t="str">
        <f t="shared" si="32"/>
        <v/>
      </c>
      <c r="Q142" s="143" t="str">
        <f t="shared" si="33"/>
        <v/>
      </c>
      <c r="R142" s="144" t="str">
        <f>IF(VLOOKUP($B142,'Satınalma Takvimi Veri Girişi'!$B$4:$AC$146,11,FALSE)&lt;&gt;"",VLOOKUP($B142,'Satınalma Takvimi Veri Girişi'!$B$4:$AC$146,11,FALSE),"")</f>
        <v/>
      </c>
      <c r="S142" s="141">
        <f>VLOOKUP($B142,Şablon!$E$3:$Q$255,8,FALSE)</f>
        <v>14</v>
      </c>
      <c r="T142" s="142" t="str">
        <f t="shared" si="34"/>
        <v/>
      </c>
      <c r="U142" s="143" t="str">
        <f t="shared" si="35"/>
        <v/>
      </c>
      <c r="V142" s="144" t="str">
        <f>IF(VLOOKUP($B142,'Satınalma Takvimi Veri Girişi'!$B$4:$AC$146,13,FALSE)&lt;&gt;"",VLOOKUP($B142,'Satınalma Takvimi Veri Girişi'!$B$4:$AC$146,13,FALSE),"")</f>
        <v/>
      </c>
      <c r="W142" s="141">
        <f>VLOOKUP($B142,Şablon!$E$3:$Q$255,9,FALSE)</f>
        <v>7</v>
      </c>
      <c r="X142" s="142" t="str">
        <f t="shared" si="36"/>
        <v/>
      </c>
      <c r="Y142" s="143" t="str">
        <f t="shared" si="37"/>
        <v/>
      </c>
      <c r="Z142" s="144" t="str">
        <f>IF(VLOOKUP($B142,'Satınalma Takvimi Veri Girişi'!$B$4:$AC$146,15,FALSE)&lt;&gt;"",VLOOKUP($B142,'Satınalma Takvimi Veri Girişi'!$B$4:$AC$146,15,FALSE),"")</f>
        <v/>
      </c>
      <c r="AA142" s="141">
        <f>VLOOKUP($B142,Şablon!$E$3:$Q$255,10,FALSE)</f>
        <v>7</v>
      </c>
      <c r="AB142" s="142" t="str">
        <f t="shared" si="38"/>
        <v/>
      </c>
      <c r="AC142" s="143" t="str">
        <f t="shared" si="39"/>
        <v/>
      </c>
      <c r="AD142" s="144" t="str">
        <f>IF(VLOOKUP($B142,'Satınalma Takvimi Veri Girişi'!$B$4:$AC$146,17,FALSE)&lt;&gt;"",VLOOKUP($B142,'Satınalma Takvimi Veri Girişi'!$B$4:$AC$146,17,FALSE),"")</f>
        <v/>
      </c>
      <c r="AE142" s="141">
        <f>(VLOOKUP($B142,Şablon!$E$3:$Q$255,11,FALSE)+VLOOKUP($B142,Şablon!$E$3:$Q$255,12,FALSE))</f>
        <v>56</v>
      </c>
      <c r="AF142" s="142" t="str">
        <f t="shared" si="40"/>
        <v/>
      </c>
      <c r="AG142" s="143" t="str">
        <f t="shared" si="41"/>
        <v/>
      </c>
      <c r="AH142" s="144" t="str">
        <f>IF(VLOOKUP($B142,'Satınalma Takvimi Veri Girişi'!$B$4:$AC$146,19,FALSE)&lt;&gt;"",VLOOKUP($B142,'Satınalma Takvimi Veri Girişi'!$B$4:$AC$146,19,FALSE),"")</f>
        <v/>
      </c>
      <c r="AI142" s="145" t="str">
        <f>IF(VLOOKUP($B142,'Satınalma Takvimi Veri Girişi'!$B$4:$AC$146,20,FALSE)&lt;&gt;"",VLOOKUP($B142,'Satınalma Takvimi Veri Girişi'!$B$4:$AC$146,20,FALSE),"")</f>
        <v/>
      </c>
      <c r="AJ142" s="144" t="str">
        <f>IF(VLOOKUP($B142,'Satınalma Takvimi Veri Girişi'!$B$4:$AC$146,21,FALSE)&lt;&gt;"",VLOOKUP($B142,'Satınalma Takvimi Veri Girişi'!$B$4:$AC$146,21,FALSE),"")</f>
        <v/>
      </c>
      <c r="AK142" s="146" t="str">
        <f>IF(VLOOKUP($B142,'Satınalma Takvimi Veri Girişi'!$B$4:$AC$146,22,FALSE)&lt;&gt;"",VLOOKUP($B142,'Satınalma Takvimi Veri Girişi'!$B$4:$AC$146,22,FALSE),"")</f>
        <v/>
      </c>
      <c r="AL142" s="147" t="str">
        <f>IF(VLOOKUP($B142,'Satınalma Takvimi Veri Girişi'!$B$4:$AC$146,23,FALSE)&lt;&gt;"",VLOOKUP($B142,'Satınalma Takvimi Veri Girişi'!$B$4:$AC$146,23,FALSE),"")</f>
        <v/>
      </c>
      <c r="AM142" s="147" t="str">
        <f>IF(VLOOKUP($B142,'Satınalma Takvimi Veri Girişi'!$B$4:$AC$146,24,FALSE)&lt;&gt;"",VLOOKUP($B142,'Satınalma Takvimi Veri Girişi'!$B$4:$AC$146,24,FALSE),"")</f>
        <v/>
      </c>
      <c r="AN142" s="147" t="str">
        <f>IF(VLOOKUP($B142,'Satınalma Takvimi Veri Girişi'!$B$4:$AC$146,25,FALSE)&lt;&gt;"",VLOOKUP($B142,'Satınalma Takvimi Veri Girişi'!$B$4:$AC$146,25,FALSE),"")</f>
        <v/>
      </c>
      <c r="AO142" s="147" t="str">
        <f>IF(VLOOKUP($B142,'Satınalma Takvimi Veri Girişi'!$B$4:$AC$146,26,FALSE)&lt;&gt;"",VLOOKUP($B142,'Satınalma Takvimi Veri Girişi'!$B$4:$AC$146,26,FALSE),"")</f>
        <v/>
      </c>
      <c r="AP142" s="147" t="str">
        <f>IF(VLOOKUP($B142,'Satınalma Takvimi Veri Girişi'!$B$4:$AC$146,27,FALSE)&lt;&gt;"",VLOOKUP($B142,'Satınalma Takvimi Veri Girişi'!$B$4:$AC$146,27,FALSE),"")</f>
        <v/>
      </c>
      <c r="AQ142" s="148" t="str">
        <f>IF(VLOOKUP($B142,'Satınalma Takvimi Veri Girişi'!$B$4:$AC$146,28,FALSE)&lt;&gt;"",VLOOKUP($B142,'Satınalma Takvimi Veri Girişi'!$B$4:$AC$146,28,FALSE),"")</f>
        <v/>
      </c>
    </row>
    <row r="143" spans="2:43" ht="19.8" customHeight="1" x14ac:dyDescent="0.3">
      <c r="B143" s="64" t="str">
        <f>Şablon!E142</f>
        <v>IHL.3028.137/1</v>
      </c>
      <c r="C143" s="139" t="str">
        <f>VLOOKUP($B143,Şablon!$E$3:$Q$255,2,FALSE)</f>
        <v>33.02.00 OTOPARK BARİYER İŞLERİ</v>
      </c>
      <c r="D143" s="161" t="str">
        <f>IF(VLOOKUP($B143,'Satınalma Takvimi Veri Girişi'!$B$4:$AC$146,3,FALSE)&lt;&gt;"",VLOOKUP($B143,'Satınalma Takvimi Veri Girişi'!$B$4:$AC$146,3,FALSE),"")</f>
        <v/>
      </c>
      <c r="E143" s="139" t="str">
        <f>VLOOKUP($B143,Şablon!$E$3:$Q$255,3,FALSE)</f>
        <v>B KATEGORİ</v>
      </c>
      <c r="F143" s="140" t="str">
        <f>VLOOKUP($B143,Şablon!$E$3:$Q$255,4,FALSE)</f>
        <v>ELK</v>
      </c>
      <c r="G143" s="141">
        <f>VLOOKUP($B143,Şablon!$E$3:$Q$255,5,FALSE)</f>
        <v>0</v>
      </c>
      <c r="H143" s="142" t="str">
        <f t="shared" si="28"/>
        <v/>
      </c>
      <c r="I143" s="143" t="str">
        <f t="shared" si="29"/>
        <v/>
      </c>
      <c r="J143" s="144" t="str">
        <f>IF(VLOOKUP($B143,'Satınalma Takvimi Veri Girişi'!$B$4:$AC$146,7,FALSE)&lt;&gt;"",VLOOKUP($B143,'Satınalma Takvimi Veri Girişi'!$B$4:$AC$146,7,FALSE),"")</f>
        <v/>
      </c>
      <c r="K143" s="141">
        <f>VLOOKUP($B143,Şablon!$E$3:$Q$255,6,FALSE)</f>
        <v>14</v>
      </c>
      <c r="L143" s="142" t="str">
        <f t="shared" si="30"/>
        <v/>
      </c>
      <c r="M143" s="143" t="str">
        <f t="shared" si="31"/>
        <v/>
      </c>
      <c r="N143" s="144" t="str">
        <f>IF(VLOOKUP($B143,'Satınalma Takvimi Veri Girişi'!$B$4:$AC$146,9,FALSE)&lt;&gt;"",VLOOKUP($B143,'Satınalma Takvimi Veri Girişi'!$B$4:$AC$146,9,FALSE),"")</f>
        <v/>
      </c>
      <c r="O143" s="141">
        <f>VLOOKUP($B143,Şablon!$E$3:$Q$255,7,FALSE)</f>
        <v>7</v>
      </c>
      <c r="P143" s="142" t="str">
        <f t="shared" si="32"/>
        <v/>
      </c>
      <c r="Q143" s="143" t="str">
        <f t="shared" si="33"/>
        <v/>
      </c>
      <c r="R143" s="144" t="str">
        <f>IF(VLOOKUP($B143,'Satınalma Takvimi Veri Girişi'!$B$4:$AC$146,11,FALSE)&lt;&gt;"",VLOOKUP($B143,'Satınalma Takvimi Veri Girişi'!$B$4:$AC$146,11,FALSE),"")</f>
        <v/>
      </c>
      <c r="S143" s="141">
        <f>VLOOKUP($B143,Şablon!$E$3:$Q$255,8,FALSE)</f>
        <v>7</v>
      </c>
      <c r="T143" s="142" t="str">
        <f t="shared" si="34"/>
        <v/>
      </c>
      <c r="U143" s="143" t="str">
        <f t="shared" si="35"/>
        <v/>
      </c>
      <c r="V143" s="144" t="str">
        <f>IF(VLOOKUP($B143,'Satınalma Takvimi Veri Girişi'!$B$4:$AC$146,13,FALSE)&lt;&gt;"",VLOOKUP($B143,'Satınalma Takvimi Veri Girişi'!$B$4:$AC$146,13,FALSE),"")</f>
        <v/>
      </c>
      <c r="W143" s="141">
        <f>VLOOKUP($B143,Şablon!$E$3:$Q$255,9,FALSE)</f>
        <v>3</v>
      </c>
      <c r="X143" s="142" t="str">
        <f t="shared" si="36"/>
        <v/>
      </c>
      <c r="Y143" s="143" t="str">
        <f t="shared" si="37"/>
        <v/>
      </c>
      <c r="Z143" s="144" t="str">
        <f>IF(VLOOKUP($B143,'Satınalma Takvimi Veri Girişi'!$B$4:$AC$146,15,FALSE)&lt;&gt;"",VLOOKUP($B143,'Satınalma Takvimi Veri Girişi'!$B$4:$AC$146,15,FALSE),"")</f>
        <v/>
      </c>
      <c r="AA143" s="141">
        <f>VLOOKUP($B143,Şablon!$E$3:$Q$255,10,FALSE)</f>
        <v>7</v>
      </c>
      <c r="AB143" s="142" t="str">
        <f t="shared" si="38"/>
        <v/>
      </c>
      <c r="AC143" s="143" t="str">
        <f t="shared" si="39"/>
        <v/>
      </c>
      <c r="AD143" s="144" t="str">
        <f>IF(VLOOKUP($B143,'Satınalma Takvimi Veri Girişi'!$B$4:$AC$146,17,FALSE)&lt;&gt;"",VLOOKUP($B143,'Satınalma Takvimi Veri Girişi'!$B$4:$AC$146,17,FALSE),"")</f>
        <v/>
      </c>
      <c r="AE143" s="141">
        <f>(VLOOKUP($B143,Şablon!$E$3:$Q$255,11,FALSE)+VLOOKUP($B143,Şablon!$E$3:$Q$255,12,FALSE))</f>
        <v>42</v>
      </c>
      <c r="AF143" s="142" t="str">
        <f t="shared" si="40"/>
        <v/>
      </c>
      <c r="AG143" s="143" t="str">
        <f t="shared" si="41"/>
        <v/>
      </c>
      <c r="AH143" s="144" t="str">
        <f>IF(VLOOKUP($B143,'Satınalma Takvimi Veri Girişi'!$B$4:$AC$146,19,FALSE)&lt;&gt;"",VLOOKUP($B143,'Satınalma Takvimi Veri Girişi'!$B$4:$AC$146,19,FALSE),"")</f>
        <v/>
      </c>
      <c r="AI143" s="145" t="str">
        <f>IF(VLOOKUP($B143,'Satınalma Takvimi Veri Girişi'!$B$4:$AC$146,20,FALSE)&lt;&gt;"",VLOOKUP($B143,'Satınalma Takvimi Veri Girişi'!$B$4:$AC$146,20,FALSE),"")</f>
        <v/>
      </c>
      <c r="AJ143" s="144" t="str">
        <f>IF(VLOOKUP($B143,'Satınalma Takvimi Veri Girişi'!$B$4:$AC$146,21,FALSE)&lt;&gt;"",VLOOKUP($B143,'Satınalma Takvimi Veri Girişi'!$B$4:$AC$146,21,FALSE),"")</f>
        <v/>
      </c>
      <c r="AK143" s="146" t="str">
        <f>IF(VLOOKUP($B143,'Satınalma Takvimi Veri Girişi'!$B$4:$AC$146,22,FALSE)&lt;&gt;"",VLOOKUP($B143,'Satınalma Takvimi Veri Girişi'!$B$4:$AC$146,22,FALSE),"")</f>
        <v/>
      </c>
      <c r="AL143" s="147" t="str">
        <f>IF(VLOOKUP($B143,'Satınalma Takvimi Veri Girişi'!$B$4:$AC$146,23,FALSE)&lt;&gt;"",VLOOKUP($B143,'Satınalma Takvimi Veri Girişi'!$B$4:$AC$146,23,FALSE),"")</f>
        <v/>
      </c>
      <c r="AM143" s="147" t="str">
        <f>IF(VLOOKUP($B143,'Satınalma Takvimi Veri Girişi'!$B$4:$AC$146,24,FALSE)&lt;&gt;"",VLOOKUP($B143,'Satınalma Takvimi Veri Girişi'!$B$4:$AC$146,24,FALSE),"")</f>
        <v/>
      </c>
      <c r="AN143" s="147" t="str">
        <f>IF(VLOOKUP($B143,'Satınalma Takvimi Veri Girişi'!$B$4:$AC$146,25,FALSE)&lt;&gt;"",VLOOKUP($B143,'Satınalma Takvimi Veri Girişi'!$B$4:$AC$146,25,FALSE),"")</f>
        <v/>
      </c>
      <c r="AO143" s="147" t="str">
        <f>IF(VLOOKUP($B143,'Satınalma Takvimi Veri Girişi'!$B$4:$AC$146,26,FALSE)&lt;&gt;"",VLOOKUP($B143,'Satınalma Takvimi Veri Girişi'!$B$4:$AC$146,26,FALSE),"")</f>
        <v/>
      </c>
      <c r="AP143" s="147" t="str">
        <f>IF(VLOOKUP($B143,'Satınalma Takvimi Veri Girişi'!$B$4:$AC$146,27,FALSE)&lt;&gt;"",VLOOKUP($B143,'Satınalma Takvimi Veri Girişi'!$B$4:$AC$146,27,FALSE),"")</f>
        <v/>
      </c>
      <c r="AQ143" s="148" t="str">
        <f>IF(VLOOKUP($B143,'Satınalma Takvimi Veri Girişi'!$B$4:$AC$146,28,FALSE)&lt;&gt;"",VLOOKUP($B143,'Satınalma Takvimi Veri Girişi'!$B$4:$AC$146,28,FALSE),"")</f>
        <v/>
      </c>
    </row>
    <row r="144" spans="2:43" ht="19.8" customHeight="1" x14ac:dyDescent="0.3">
      <c r="B144" s="64" t="str">
        <f>Şablon!E143</f>
        <v>IHL.3028.138/1</v>
      </c>
      <c r="C144" s="139" t="str">
        <f>VLOOKUP($B144,Şablon!$E$3:$Q$255,2,FALSE)</f>
        <v xml:space="preserve">33.03.00 ENERJİ TEMİN İŞLERİ </v>
      </c>
      <c r="D144" s="161" t="str">
        <f>IF(VLOOKUP($B144,'Satınalma Takvimi Veri Girişi'!$B$4:$AC$146,3,FALSE)&lt;&gt;"",VLOOKUP($B144,'Satınalma Takvimi Veri Girişi'!$B$4:$AC$146,3,FALSE),"")</f>
        <v/>
      </c>
      <c r="E144" s="139" t="str">
        <f>VLOOKUP($B144,Şablon!$E$3:$Q$255,3,FALSE)</f>
        <v>B KATEGORİ</v>
      </c>
      <c r="F144" s="140" t="str">
        <f>VLOOKUP($B144,Şablon!$E$3:$Q$255,4,FALSE)</f>
        <v>ELK</v>
      </c>
      <c r="G144" s="141">
        <f>VLOOKUP($B144,Şablon!$E$3:$Q$255,5,FALSE)</f>
        <v>0</v>
      </c>
      <c r="H144" s="142" t="str">
        <f t="shared" si="28"/>
        <v/>
      </c>
      <c r="I144" s="143" t="str">
        <f t="shared" si="29"/>
        <v/>
      </c>
      <c r="J144" s="144" t="str">
        <f>IF(VLOOKUP($B144,'Satınalma Takvimi Veri Girişi'!$B$4:$AC$146,7,FALSE)&lt;&gt;"",VLOOKUP($B144,'Satınalma Takvimi Veri Girişi'!$B$4:$AC$146,7,FALSE),"")</f>
        <v/>
      </c>
      <c r="K144" s="141">
        <f>VLOOKUP($B144,Şablon!$E$3:$Q$255,6,FALSE)</f>
        <v>14</v>
      </c>
      <c r="L144" s="142" t="str">
        <f t="shared" si="30"/>
        <v/>
      </c>
      <c r="M144" s="143" t="str">
        <f t="shared" si="31"/>
        <v/>
      </c>
      <c r="N144" s="144" t="str">
        <f>IF(VLOOKUP($B144,'Satınalma Takvimi Veri Girişi'!$B$4:$AC$146,9,FALSE)&lt;&gt;"",VLOOKUP($B144,'Satınalma Takvimi Veri Girişi'!$B$4:$AC$146,9,FALSE),"")</f>
        <v/>
      </c>
      <c r="O144" s="141">
        <f>VLOOKUP($B144,Şablon!$E$3:$Q$255,7,FALSE)</f>
        <v>14</v>
      </c>
      <c r="P144" s="142" t="str">
        <f t="shared" si="32"/>
        <v/>
      </c>
      <c r="Q144" s="143" t="str">
        <f t="shared" si="33"/>
        <v/>
      </c>
      <c r="R144" s="144" t="str">
        <f>IF(VLOOKUP($B144,'Satınalma Takvimi Veri Girişi'!$B$4:$AC$146,11,FALSE)&lt;&gt;"",VLOOKUP($B144,'Satınalma Takvimi Veri Girişi'!$B$4:$AC$146,11,FALSE),"")</f>
        <v/>
      </c>
      <c r="S144" s="141">
        <f>VLOOKUP($B144,Şablon!$E$3:$Q$255,8,FALSE)</f>
        <v>14</v>
      </c>
      <c r="T144" s="142" t="str">
        <f t="shared" si="34"/>
        <v/>
      </c>
      <c r="U144" s="143" t="str">
        <f t="shared" si="35"/>
        <v/>
      </c>
      <c r="V144" s="144" t="str">
        <f>IF(VLOOKUP($B144,'Satınalma Takvimi Veri Girişi'!$B$4:$AC$146,13,FALSE)&lt;&gt;"",VLOOKUP($B144,'Satınalma Takvimi Veri Girişi'!$B$4:$AC$146,13,FALSE),"")</f>
        <v/>
      </c>
      <c r="W144" s="141">
        <f>VLOOKUP($B144,Şablon!$E$3:$Q$255,9,FALSE)</f>
        <v>7</v>
      </c>
      <c r="X144" s="142" t="str">
        <f t="shared" si="36"/>
        <v/>
      </c>
      <c r="Y144" s="143" t="str">
        <f t="shared" si="37"/>
        <v/>
      </c>
      <c r="Z144" s="144" t="str">
        <f>IF(VLOOKUP($B144,'Satınalma Takvimi Veri Girişi'!$B$4:$AC$146,15,FALSE)&lt;&gt;"",VLOOKUP($B144,'Satınalma Takvimi Veri Girişi'!$B$4:$AC$146,15,FALSE),"")</f>
        <v/>
      </c>
      <c r="AA144" s="141">
        <f>VLOOKUP($B144,Şablon!$E$3:$Q$255,10,FALSE)</f>
        <v>7</v>
      </c>
      <c r="AB144" s="142" t="str">
        <f t="shared" si="38"/>
        <v/>
      </c>
      <c r="AC144" s="143" t="str">
        <f t="shared" si="39"/>
        <v/>
      </c>
      <c r="AD144" s="144" t="str">
        <f>IF(VLOOKUP($B144,'Satınalma Takvimi Veri Girişi'!$B$4:$AC$146,17,FALSE)&lt;&gt;"",VLOOKUP($B144,'Satınalma Takvimi Veri Girişi'!$B$4:$AC$146,17,FALSE),"")</f>
        <v/>
      </c>
      <c r="AE144" s="141">
        <f>(VLOOKUP($B144,Şablon!$E$3:$Q$255,11,FALSE)+VLOOKUP($B144,Şablon!$E$3:$Q$255,12,FALSE))</f>
        <v>14</v>
      </c>
      <c r="AF144" s="142" t="str">
        <f t="shared" si="40"/>
        <v/>
      </c>
      <c r="AG144" s="143" t="str">
        <f t="shared" si="41"/>
        <v/>
      </c>
      <c r="AH144" s="144" t="str">
        <f>IF(VLOOKUP($B144,'Satınalma Takvimi Veri Girişi'!$B$4:$AC$146,19,FALSE)&lt;&gt;"",VLOOKUP($B144,'Satınalma Takvimi Veri Girişi'!$B$4:$AC$146,19,FALSE),"")</f>
        <v/>
      </c>
      <c r="AI144" s="145" t="str">
        <f>IF(VLOOKUP($B144,'Satınalma Takvimi Veri Girişi'!$B$4:$AC$146,20,FALSE)&lt;&gt;"",VLOOKUP($B144,'Satınalma Takvimi Veri Girişi'!$B$4:$AC$146,20,FALSE),"")</f>
        <v/>
      </c>
      <c r="AJ144" s="144" t="str">
        <f>IF(VLOOKUP($B144,'Satınalma Takvimi Veri Girişi'!$B$4:$AC$146,21,FALSE)&lt;&gt;"",VLOOKUP($B144,'Satınalma Takvimi Veri Girişi'!$B$4:$AC$146,21,FALSE),"")</f>
        <v/>
      </c>
      <c r="AK144" s="146" t="str">
        <f>IF(VLOOKUP($B144,'Satınalma Takvimi Veri Girişi'!$B$4:$AC$146,22,FALSE)&lt;&gt;"",VLOOKUP($B144,'Satınalma Takvimi Veri Girişi'!$B$4:$AC$146,22,FALSE),"")</f>
        <v/>
      </c>
      <c r="AL144" s="147" t="str">
        <f>IF(VLOOKUP($B144,'Satınalma Takvimi Veri Girişi'!$B$4:$AC$146,23,FALSE)&lt;&gt;"",VLOOKUP($B144,'Satınalma Takvimi Veri Girişi'!$B$4:$AC$146,23,FALSE),"")</f>
        <v/>
      </c>
      <c r="AM144" s="147" t="str">
        <f>IF(VLOOKUP($B144,'Satınalma Takvimi Veri Girişi'!$B$4:$AC$146,24,FALSE)&lt;&gt;"",VLOOKUP($B144,'Satınalma Takvimi Veri Girişi'!$B$4:$AC$146,24,FALSE),"")</f>
        <v/>
      </c>
      <c r="AN144" s="147" t="str">
        <f>IF(VLOOKUP($B144,'Satınalma Takvimi Veri Girişi'!$B$4:$AC$146,25,FALSE)&lt;&gt;"",VLOOKUP($B144,'Satınalma Takvimi Veri Girişi'!$B$4:$AC$146,25,FALSE),"")</f>
        <v/>
      </c>
      <c r="AO144" s="147" t="str">
        <f>IF(VLOOKUP($B144,'Satınalma Takvimi Veri Girişi'!$B$4:$AC$146,26,FALSE)&lt;&gt;"",VLOOKUP($B144,'Satınalma Takvimi Veri Girişi'!$B$4:$AC$146,26,FALSE),"")</f>
        <v/>
      </c>
      <c r="AP144" s="147" t="str">
        <f>IF(VLOOKUP($B144,'Satınalma Takvimi Veri Girişi'!$B$4:$AC$146,27,FALSE)&lt;&gt;"",VLOOKUP($B144,'Satınalma Takvimi Veri Girişi'!$B$4:$AC$146,27,FALSE),"")</f>
        <v/>
      </c>
      <c r="AQ144" s="148" t="str">
        <f>IF(VLOOKUP($B144,'Satınalma Takvimi Veri Girişi'!$B$4:$AC$146,28,FALSE)&lt;&gt;"",VLOOKUP($B144,'Satınalma Takvimi Veri Girişi'!$B$4:$AC$146,28,FALSE),"")</f>
        <v/>
      </c>
    </row>
    <row r="145" spans="2:43" ht="19.8" customHeight="1" x14ac:dyDescent="0.3">
      <c r="B145" s="64" t="str">
        <f>Şablon!E144</f>
        <v>IHL.3028.139/1</v>
      </c>
      <c r="C145" s="139" t="str">
        <f>VLOOKUP($B145,Şablon!$E$3:$Q$255,2,FALSE)</f>
        <v>33.03.01 GES İŞLERİ</v>
      </c>
      <c r="D145" s="161" t="str">
        <f>IF(VLOOKUP($B145,'Satınalma Takvimi Veri Girişi'!$B$4:$AC$146,3,FALSE)&lt;&gt;"",VLOOKUP($B145,'Satınalma Takvimi Veri Girişi'!$B$4:$AC$146,3,FALSE),"")</f>
        <v/>
      </c>
      <c r="E145" s="139" t="str">
        <f>VLOOKUP($B145,Şablon!$E$3:$Q$255,3,FALSE)</f>
        <v>B KATEGORİ</v>
      </c>
      <c r="F145" s="140" t="str">
        <f>VLOOKUP($B145,Şablon!$E$3:$Q$255,4,FALSE)</f>
        <v>ELK</v>
      </c>
      <c r="G145" s="141">
        <f>VLOOKUP($B145,Şablon!$E$3:$Q$255,5,FALSE)</f>
        <v>0</v>
      </c>
      <c r="H145" s="142" t="str">
        <f t="shared" si="28"/>
        <v/>
      </c>
      <c r="I145" s="143" t="str">
        <f t="shared" si="29"/>
        <v/>
      </c>
      <c r="J145" s="144" t="str">
        <f>IF(VLOOKUP($B145,'Satınalma Takvimi Veri Girişi'!$B$4:$AC$146,7,FALSE)&lt;&gt;"",VLOOKUP($B145,'Satınalma Takvimi Veri Girişi'!$B$4:$AC$146,7,FALSE),"")</f>
        <v/>
      </c>
      <c r="K145" s="141">
        <f>VLOOKUP($B145,Şablon!$E$3:$Q$255,6,FALSE)</f>
        <v>14</v>
      </c>
      <c r="L145" s="142" t="str">
        <f t="shared" si="30"/>
        <v/>
      </c>
      <c r="M145" s="143" t="str">
        <f t="shared" si="31"/>
        <v/>
      </c>
      <c r="N145" s="144" t="str">
        <f>IF(VLOOKUP($B145,'Satınalma Takvimi Veri Girişi'!$B$4:$AC$146,9,FALSE)&lt;&gt;"",VLOOKUP($B145,'Satınalma Takvimi Veri Girişi'!$B$4:$AC$146,9,FALSE),"")</f>
        <v/>
      </c>
      <c r="O145" s="141">
        <f>VLOOKUP($B145,Şablon!$E$3:$Q$255,7,FALSE)</f>
        <v>14</v>
      </c>
      <c r="P145" s="142" t="str">
        <f t="shared" si="32"/>
        <v/>
      </c>
      <c r="Q145" s="143" t="str">
        <f t="shared" si="33"/>
        <v/>
      </c>
      <c r="R145" s="144" t="str">
        <f>IF(VLOOKUP($B145,'Satınalma Takvimi Veri Girişi'!$B$4:$AC$146,11,FALSE)&lt;&gt;"",VLOOKUP($B145,'Satınalma Takvimi Veri Girişi'!$B$4:$AC$146,11,FALSE),"")</f>
        <v/>
      </c>
      <c r="S145" s="141">
        <f>VLOOKUP($B145,Şablon!$E$3:$Q$255,8,FALSE)</f>
        <v>14</v>
      </c>
      <c r="T145" s="142" t="str">
        <f t="shared" si="34"/>
        <v/>
      </c>
      <c r="U145" s="143" t="str">
        <f t="shared" si="35"/>
        <v/>
      </c>
      <c r="V145" s="144" t="str">
        <f>IF(VLOOKUP($B145,'Satınalma Takvimi Veri Girişi'!$B$4:$AC$146,13,FALSE)&lt;&gt;"",VLOOKUP($B145,'Satınalma Takvimi Veri Girişi'!$B$4:$AC$146,13,FALSE),"")</f>
        <v/>
      </c>
      <c r="W145" s="141">
        <f>VLOOKUP($B145,Şablon!$E$3:$Q$255,9,FALSE)</f>
        <v>7</v>
      </c>
      <c r="X145" s="142" t="str">
        <f t="shared" si="36"/>
        <v/>
      </c>
      <c r="Y145" s="143" t="str">
        <f t="shared" si="37"/>
        <v/>
      </c>
      <c r="Z145" s="144" t="str">
        <f>IF(VLOOKUP($B145,'Satınalma Takvimi Veri Girişi'!$B$4:$AC$146,15,FALSE)&lt;&gt;"",VLOOKUP($B145,'Satınalma Takvimi Veri Girişi'!$B$4:$AC$146,15,FALSE),"")</f>
        <v/>
      </c>
      <c r="AA145" s="141">
        <f>VLOOKUP($B145,Şablon!$E$3:$Q$255,10,FALSE)</f>
        <v>7</v>
      </c>
      <c r="AB145" s="142" t="str">
        <f t="shared" si="38"/>
        <v/>
      </c>
      <c r="AC145" s="143" t="str">
        <f t="shared" si="39"/>
        <v/>
      </c>
      <c r="AD145" s="144" t="str">
        <f>IF(VLOOKUP($B145,'Satınalma Takvimi Veri Girişi'!$B$4:$AC$146,17,FALSE)&lt;&gt;"",VLOOKUP($B145,'Satınalma Takvimi Veri Girişi'!$B$4:$AC$146,17,FALSE),"")</f>
        <v/>
      </c>
      <c r="AE145" s="141">
        <f>(VLOOKUP($B145,Şablon!$E$3:$Q$255,11,FALSE)+VLOOKUP($B145,Şablon!$E$3:$Q$255,12,FALSE))</f>
        <v>14</v>
      </c>
      <c r="AF145" s="142" t="str">
        <f t="shared" si="40"/>
        <v/>
      </c>
      <c r="AG145" s="143" t="str">
        <f t="shared" si="41"/>
        <v/>
      </c>
      <c r="AH145" s="144" t="str">
        <f>IF(VLOOKUP($B145,'Satınalma Takvimi Veri Girişi'!$B$4:$AC$146,19,FALSE)&lt;&gt;"",VLOOKUP($B145,'Satınalma Takvimi Veri Girişi'!$B$4:$AC$146,19,FALSE),"")</f>
        <v/>
      </c>
      <c r="AI145" s="145" t="str">
        <f>IF(VLOOKUP($B145,'Satınalma Takvimi Veri Girişi'!$B$4:$AC$146,20,FALSE)&lt;&gt;"",VLOOKUP($B145,'Satınalma Takvimi Veri Girişi'!$B$4:$AC$146,20,FALSE),"")</f>
        <v/>
      </c>
      <c r="AJ145" s="144" t="str">
        <f>IF(VLOOKUP($B145,'Satınalma Takvimi Veri Girişi'!$B$4:$AC$146,21,FALSE)&lt;&gt;"",VLOOKUP($B145,'Satınalma Takvimi Veri Girişi'!$B$4:$AC$146,21,FALSE),"")</f>
        <v/>
      </c>
      <c r="AK145" s="146" t="str">
        <f>IF(VLOOKUP($B145,'Satınalma Takvimi Veri Girişi'!$B$4:$AC$146,22,FALSE)&lt;&gt;"",VLOOKUP($B145,'Satınalma Takvimi Veri Girişi'!$B$4:$AC$146,22,FALSE),"")</f>
        <v/>
      </c>
      <c r="AL145" s="147" t="str">
        <f>IF(VLOOKUP($B145,'Satınalma Takvimi Veri Girişi'!$B$4:$AC$146,23,FALSE)&lt;&gt;"",VLOOKUP($B145,'Satınalma Takvimi Veri Girişi'!$B$4:$AC$146,23,FALSE),"")</f>
        <v/>
      </c>
      <c r="AM145" s="147" t="str">
        <f>IF(VLOOKUP($B145,'Satınalma Takvimi Veri Girişi'!$B$4:$AC$146,24,FALSE)&lt;&gt;"",VLOOKUP($B145,'Satınalma Takvimi Veri Girişi'!$B$4:$AC$146,24,FALSE),"")</f>
        <v/>
      </c>
      <c r="AN145" s="147" t="str">
        <f>IF(VLOOKUP($B145,'Satınalma Takvimi Veri Girişi'!$B$4:$AC$146,25,FALSE)&lt;&gt;"",VLOOKUP($B145,'Satınalma Takvimi Veri Girişi'!$B$4:$AC$146,25,FALSE),"")</f>
        <v/>
      </c>
      <c r="AO145" s="147" t="str">
        <f>IF(VLOOKUP($B145,'Satınalma Takvimi Veri Girişi'!$B$4:$AC$146,26,FALSE)&lt;&gt;"",VLOOKUP($B145,'Satınalma Takvimi Veri Girişi'!$B$4:$AC$146,26,FALSE),"")</f>
        <v/>
      </c>
      <c r="AP145" s="147" t="str">
        <f>IF(VLOOKUP($B145,'Satınalma Takvimi Veri Girişi'!$B$4:$AC$146,27,FALSE)&lt;&gt;"",VLOOKUP($B145,'Satınalma Takvimi Veri Girişi'!$B$4:$AC$146,27,FALSE),"")</f>
        <v/>
      </c>
      <c r="AQ145" s="148" t="str">
        <f>IF(VLOOKUP($B145,'Satınalma Takvimi Veri Girişi'!$B$4:$AC$146,28,FALSE)&lt;&gt;"",VLOOKUP($B145,'Satınalma Takvimi Veri Girişi'!$B$4:$AC$146,28,FALSE),"")</f>
        <v/>
      </c>
    </row>
    <row r="146" spans="2:43" ht="19.8" customHeight="1" x14ac:dyDescent="0.3">
      <c r="B146" s="65" t="str">
        <f>Şablon!E145</f>
        <v>IHL.3028.140/1</v>
      </c>
      <c r="C146" s="151" t="str">
        <f>VLOOKUP($B146,Şablon!$E$3:$Q$255,2,FALSE)</f>
        <v>35.01.00 ASANSÖR İŞLERİ</v>
      </c>
      <c r="D146" s="162" t="str">
        <f>IF(VLOOKUP($B146,'Satınalma Takvimi Veri Girişi'!$B$4:$AC$146,3,FALSE)&lt;&gt;"",VLOOKUP($B146,'Satınalma Takvimi Veri Girişi'!$B$4:$AC$146,3,FALSE),"")</f>
        <v/>
      </c>
      <c r="E146" s="151" t="str">
        <f>VLOOKUP($B146,Şablon!$E$3:$Q$255,3,FALSE)</f>
        <v>A KATEGORİ</v>
      </c>
      <c r="F146" s="152" t="str">
        <f>VLOOKUP($B146,Şablon!$E$3:$Q$255,4,FALSE)</f>
        <v>ELK</v>
      </c>
      <c r="G146" s="153">
        <f>VLOOKUP($B146,Şablon!$E$3:$Q$255,5,FALSE)</f>
        <v>0</v>
      </c>
      <c r="H146" s="154" t="str">
        <f t="shared" si="28"/>
        <v/>
      </c>
      <c r="I146" s="155" t="str">
        <f t="shared" si="29"/>
        <v/>
      </c>
      <c r="J146" s="156" t="str">
        <f>IF(VLOOKUP($B146,'Satınalma Takvimi Veri Girişi'!$B$4:$AC$146,7,FALSE)&lt;&gt;"",VLOOKUP($B146,'Satınalma Takvimi Veri Girişi'!$B$4:$AC$146,7,FALSE),"")</f>
        <v/>
      </c>
      <c r="K146" s="153">
        <f>VLOOKUP($B146,Şablon!$E$3:$Q$255,6,FALSE)</f>
        <v>14</v>
      </c>
      <c r="L146" s="154" t="str">
        <f t="shared" si="30"/>
        <v/>
      </c>
      <c r="M146" s="155" t="str">
        <f t="shared" si="31"/>
        <v/>
      </c>
      <c r="N146" s="156" t="str">
        <f>IF(VLOOKUP($B146,'Satınalma Takvimi Veri Girişi'!$B$4:$AC$146,9,FALSE)&lt;&gt;"",VLOOKUP($B146,'Satınalma Takvimi Veri Girişi'!$B$4:$AC$146,9,FALSE),"")</f>
        <v/>
      </c>
      <c r="O146" s="153">
        <f>VLOOKUP($B146,Şablon!$E$3:$Q$255,7,FALSE)</f>
        <v>21</v>
      </c>
      <c r="P146" s="154" t="str">
        <f t="shared" si="32"/>
        <v/>
      </c>
      <c r="Q146" s="155" t="str">
        <f t="shared" si="33"/>
        <v/>
      </c>
      <c r="R146" s="156" t="str">
        <f>IF(VLOOKUP($B146,'Satınalma Takvimi Veri Girişi'!$B$4:$AC$146,11,FALSE)&lt;&gt;"",VLOOKUP($B146,'Satınalma Takvimi Veri Girişi'!$B$4:$AC$146,11,FALSE),"")</f>
        <v/>
      </c>
      <c r="S146" s="153">
        <f>VLOOKUP($B146,Şablon!$E$3:$Q$255,8,FALSE)</f>
        <v>30</v>
      </c>
      <c r="T146" s="154" t="str">
        <f t="shared" si="34"/>
        <v/>
      </c>
      <c r="U146" s="155" t="str">
        <f t="shared" si="35"/>
        <v/>
      </c>
      <c r="V146" s="156" t="str">
        <f>IF(VLOOKUP($B146,'Satınalma Takvimi Veri Girişi'!$B$4:$AC$146,13,FALSE)&lt;&gt;"",VLOOKUP($B146,'Satınalma Takvimi Veri Girişi'!$B$4:$AC$146,13,FALSE),"")</f>
        <v/>
      </c>
      <c r="W146" s="153">
        <f>VLOOKUP($B146,Şablon!$E$3:$Q$255,9,FALSE)</f>
        <v>10</v>
      </c>
      <c r="X146" s="154" t="str">
        <f t="shared" si="36"/>
        <v/>
      </c>
      <c r="Y146" s="155" t="str">
        <f t="shared" si="37"/>
        <v/>
      </c>
      <c r="Z146" s="156" t="str">
        <f>IF(VLOOKUP($B146,'Satınalma Takvimi Veri Girişi'!$B$4:$AC$146,15,FALSE)&lt;&gt;"",VLOOKUP($B146,'Satınalma Takvimi Veri Girişi'!$B$4:$AC$146,15,FALSE),"")</f>
        <v/>
      </c>
      <c r="AA146" s="153">
        <f>VLOOKUP($B146,Şablon!$E$3:$Q$255,10,FALSE)</f>
        <v>14</v>
      </c>
      <c r="AB146" s="154" t="str">
        <f t="shared" si="38"/>
        <v/>
      </c>
      <c r="AC146" s="155" t="str">
        <f t="shared" si="39"/>
        <v/>
      </c>
      <c r="AD146" s="156" t="str">
        <f>IF(VLOOKUP($B146,'Satınalma Takvimi Veri Girişi'!$B$4:$AC$146,17,FALSE)&lt;&gt;"",VLOOKUP($B146,'Satınalma Takvimi Veri Girişi'!$B$4:$AC$146,17,FALSE),"")</f>
        <v/>
      </c>
      <c r="AE146" s="153">
        <f>(VLOOKUP($B146,Şablon!$E$3:$Q$255,11,FALSE)+VLOOKUP($B146,Şablon!$E$3:$Q$255,12,FALSE))</f>
        <v>14</v>
      </c>
      <c r="AF146" s="154" t="str">
        <f t="shared" si="40"/>
        <v/>
      </c>
      <c r="AG146" s="155" t="str">
        <f t="shared" si="41"/>
        <v/>
      </c>
      <c r="AH146" s="156" t="str">
        <f>IF(VLOOKUP($B146,'Satınalma Takvimi Veri Girişi'!$B$4:$AC$146,19,FALSE)&lt;&gt;"",VLOOKUP($B146,'Satınalma Takvimi Veri Girişi'!$B$4:$AC$146,19,FALSE),"")</f>
        <v/>
      </c>
      <c r="AI146" s="157" t="str">
        <f>IF(VLOOKUP($B146,'Satınalma Takvimi Veri Girişi'!$B$4:$AC$146,20,FALSE)&lt;&gt;"",VLOOKUP($B146,'Satınalma Takvimi Veri Girişi'!$B$4:$AC$146,20,FALSE),"")</f>
        <v/>
      </c>
      <c r="AJ146" s="156" t="str">
        <f>IF(VLOOKUP($B146,'Satınalma Takvimi Veri Girişi'!$B$4:$AC$146,21,FALSE)&lt;&gt;"",VLOOKUP($B146,'Satınalma Takvimi Veri Girişi'!$B$4:$AC$146,21,FALSE),"")</f>
        <v/>
      </c>
      <c r="AK146" s="158" t="str">
        <f>IF(VLOOKUP($B146,'Satınalma Takvimi Veri Girişi'!$B$4:$AC$146,22,FALSE)&lt;&gt;"",VLOOKUP($B146,'Satınalma Takvimi Veri Girişi'!$B$4:$AC$146,22,FALSE),"")</f>
        <v/>
      </c>
      <c r="AL146" s="159" t="str">
        <f>IF(VLOOKUP($B146,'Satınalma Takvimi Veri Girişi'!$B$4:$AC$146,23,FALSE)&lt;&gt;"",VLOOKUP($B146,'Satınalma Takvimi Veri Girişi'!$B$4:$AC$146,23,FALSE),"")</f>
        <v/>
      </c>
      <c r="AM146" s="159" t="str">
        <f>IF(VLOOKUP($B146,'Satınalma Takvimi Veri Girişi'!$B$4:$AC$146,24,FALSE)&lt;&gt;"",VLOOKUP($B146,'Satınalma Takvimi Veri Girişi'!$B$4:$AC$146,24,FALSE),"")</f>
        <v/>
      </c>
      <c r="AN146" s="159" t="str">
        <f>IF(VLOOKUP($B146,'Satınalma Takvimi Veri Girişi'!$B$4:$AC$146,25,FALSE)&lt;&gt;"",VLOOKUP($B146,'Satınalma Takvimi Veri Girişi'!$B$4:$AC$146,25,FALSE),"")</f>
        <v/>
      </c>
      <c r="AO146" s="159" t="str">
        <f>IF(VLOOKUP($B146,'Satınalma Takvimi Veri Girişi'!$B$4:$AC$146,26,FALSE)&lt;&gt;"",VLOOKUP($B146,'Satınalma Takvimi Veri Girişi'!$B$4:$AC$146,26,FALSE),"")</f>
        <v/>
      </c>
      <c r="AP146" s="159" t="str">
        <f>IF(VLOOKUP($B146,'Satınalma Takvimi Veri Girişi'!$B$4:$AC$146,27,FALSE)&lt;&gt;"",VLOOKUP($B146,'Satınalma Takvimi Veri Girişi'!$B$4:$AC$146,27,FALSE),"")</f>
        <v/>
      </c>
      <c r="AQ146" s="160" t="str">
        <f>IF(VLOOKUP($B146,'Satınalma Takvimi Veri Girişi'!$B$4:$AC$146,28,FALSE)&lt;&gt;"",VLOOKUP($B146,'Satınalma Takvimi Veri Girişi'!$B$4:$AC$146,28,FALSE),"")</f>
        <v/>
      </c>
    </row>
    <row r="147" spans="2:43" ht="19.8" customHeight="1" x14ac:dyDescent="0.3">
      <c r="B147" s="82"/>
      <c r="G147" s="83"/>
      <c r="H147" s="83"/>
      <c r="I147" s="83"/>
      <c r="J147" s="83"/>
      <c r="K147" s="83"/>
      <c r="L147" s="83"/>
      <c r="M147" s="83"/>
      <c r="N147" s="83"/>
      <c r="O147" s="84"/>
      <c r="P147" s="84"/>
      <c r="Q147" s="84"/>
      <c r="R147" s="84"/>
      <c r="S147" s="84"/>
      <c r="T147" s="84"/>
      <c r="U147" s="84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5"/>
      <c r="AJ147" s="85"/>
      <c r="AK147" s="86"/>
      <c r="AL147" s="86"/>
      <c r="AM147" s="86"/>
      <c r="AN147" s="86"/>
      <c r="AO147" s="86"/>
      <c r="AP147" s="86"/>
      <c r="AQ147" s="86"/>
    </row>
  </sheetData>
  <sheetProtection insertRows="0" deleteRows="0" sort="0"/>
  <autoFilter ref="B3:AQ3" xr:uid="{098148EA-0D32-4261-A533-FDBC4C0F901C}"/>
  <mergeCells count="20">
    <mergeCell ref="AQ2:AQ3"/>
    <mergeCell ref="AP2:AP3"/>
    <mergeCell ref="AI2:AJ2"/>
    <mergeCell ref="AK2:AK3"/>
    <mergeCell ref="AL2:AL3"/>
    <mergeCell ref="AM2:AM3"/>
    <mergeCell ref="AN2:AN3"/>
    <mergeCell ref="AO2:AO3"/>
    <mergeCell ref="K2:N2"/>
    <mergeCell ref="O2:R2"/>
    <mergeCell ref="S2:V2"/>
    <mergeCell ref="W2:Z2"/>
    <mergeCell ref="AA2:AD2"/>
    <mergeCell ref="AE2:AH2"/>
    <mergeCell ref="B2:B3"/>
    <mergeCell ref="C2:C3"/>
    <mergeCell ref="D2:D3"/>
    <mergeCell ref="E2:E3"/>
    <mergeCell ref="F2:F3"/>
    <mergeCell ref="G2:J2"/>
  </mergeCells>
  <conditionalFormatting sqref="B146:C146">
    <cfRule type="duplicateValues" dxfId="1" priority="1"/>
  </conditionalFormatting>
  <conditionalFormatting sqref="B4:C145">
    <cfRule type="duplicateValues" dxfId="0" priority="2"/>
  </conditionalFormatting>
  <pageMargins left="0.7" right="0.7" top="0.75" bottom="0.75" header="0.3" footer="0.3"/>
  <pageSetup paperSize="9" orientation="portrait" r:id="rId1"/>
  <ignoredErrors>
    <ignoredError sqref="J131:J146 J4:J130 N4 N5:N146 R4:R146 V4:V146 Z4:Z146 AD4:AD146 AH4:AH146 AI4:AJ146 AK5:AQ146 AK4:AQ4 D4:D146 B4:B146 B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1500C6-2600-4D65-A30F-89B9C3964B3B}">
          <x14:formula1>
            <xm:f>Referans!$E$3:$E$144</xm:f>
          </x14:formula1>
          <xm:sqref>C4:C146</xm:sqref>
        </x14:dataValidation>
        <x14:dataValidation type="list" allowBlank="1" showInputMessage="1" showErrorMessage="1" xr:uid="{16D1448C-0825-4ACC-A248-830BBE0C1BA0}">
          <x14:formula1>
            <xm:f>Referans!$D$3:$D$12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Referans</vt:lpstr>
      <vt:lpstr>Şablon</vt:lpstr>
      <vt:lpstr>Kullanım Klavuzu</vt:lpstr>
      <vt:lpstr>Satınalma Takvimi Veri Girişi</vt:lpstr>
      <vt:lpstr>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DEDEOĞLU</dc:creator>
  <cp:lastModifiedBy>Furkan DEDEOĞLU</cp:lastModifiedBy>
  <dcterms:created xsi:type="dcterms:W3CDTF">2026-06-02T09:17:50Z</dcterms:created>
  <dcterms:modified xsi:type="dcterms:W3CDTF">2026-08-06T08:40:58Z</dcterms:modified>
</cp:coreProperties>
</file>